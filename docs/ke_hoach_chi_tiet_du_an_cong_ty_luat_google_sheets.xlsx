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37e6f934e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bf89eca2ad9a44e9"/>
    <x:sheet xmlns:r="http://schemas.openxmlformats.org/officeDocument/2006/relationships" name="Ke_hoach_chi_tiet" sheetId="2" r:id="R4e51eaa103ba4f3a"/>
    <x:sheet xmlns:r="http://schemas.openxmlformats.org/officeDocument/2006/relationships" name="KPI_Rui_ro" sheetId="3" r:id="Rfcac78c6de6c4476"/>
    <x:sheet xmlns:r="http://schemas.openxmlformats.org/officeDocument/2006/relationships" name="Dashboard" sheetId="4" r:id="Rb73df72e6a1942ba"/>
  </x:sheets>
  <x:definedNames>
    <x:definedName name="_xlnm._FilterDatabase" localSheetId="1" hidden="1">'Ke_hoach_chi_tiet'!$A$6:$Q$30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3" authorId="0">
      <x:text>
        <x:r>
          <x:t>Nhập ngày bắt đầu thực tế. Toàn bộ cột Bắt đầu/Kết thúc sẽ tự dời theo.</x:t>
        </x:r>
      </x:text>
    </x:comment>
    <x:comment ref="E4" authorId="0">
      <x:text>
        <x:r>
          <x:t>Tự tính tuần hiện tại theo ngày hôm nay và ngày bắt đầu dự án.</x:t>
        </x:r>
      </x:text>
    </x:comment>
    <x:comment ref="M6" authorId="0">
      <x:text>
        <x:r>
          <x:t>Nhập số từ 0 đến 100.</x:t>
        </x:r>
      </x:text>
    </x:comment>
    <x:comment ref="N6" authorId="0">
      <x:text>
        <x:r>
          <x:t>Chọn: Chưa bắt đầu / Đang thực hiện / Bị chặn / Hoàn thành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dd/mm/yyyy"/>
    <x:numFmt numFmtId="166" formatCode="0&quot;%&quot;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sz val="11"/>
    </x:font>
    <x:font>
      <x:b/>
      <x:sz val="11"/>
      <x:color rgb="00FFFFFF"/>
    </x:font>
    <x:font>
      <x:sz val="10"/>
      <x:color rgb="001F1F1F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EAF4FB"/>
      </x:patternFill>
    </x:fill>
    <x:fill>
      <x:patternFill patternType="solid">
        <x:fgColor rgb="00FFFCEF"/>
      </x:patternFill>
    </x:fill>
    <x:fill>
      <x:patternFill patternType="solid">
        <x:fgColor rgb="00F3F9EE"/>
      </x:patternFill>
    </x:fill>
    <x:fill>
      <x:patternFill patternType="solid">
        <x:fgColor rgb="00F3F4F6"/>
      </x:patternFill>
    </x:fill>
    <x:fill>
      <x:patternFill patternType="solid">
        <x:fgColor rgb="00FBFDFF"/>
      </x:patternFill>
    </x:fill>
  </x:fills>
  <x:borders count="3">
    <x:border>
      <x:left/>
      <x:right/>
      <x:top/>
      <x:bottom/>
      <x:diagonal/>
    </x:border>
    <x:border>
      <x:top style="medium">
        <x:color rgb="001F4E78"/>
      </x:top>
      <x:bottom style="medium">
        <x:color rgb="001F4E78"/>
      </x:bottom>
    </x:border>
    <x:border>
      <x:bottom style="thin">
        <x:color rgb="00D0D7D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165" fontId="0" fillId="0" borderId="0" xfId="0" applyAlignment="1">
      <x:alignment horizontal="left" vertical="top" wrapText="1"/>
    </x:xf>
    <x:xf numFmtId="0" fontId="3" fillId="4" borderId="0" xfId="0"/>
    <x:xf numFmtId="0" fontId="4" fillId="2" borderId="1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2" fillId="3" borderId="0" xfId="0" applyAlignment="1">
      <x:alignment horizontal="center" vertical="center" wrapText="1"/>
    </x:xf>
    <x:xf numFmtId="165" fontId="0" fillId="5" borderId="2" xfId="0" applyAlignment="1">
      <x:alignment horizontal="center" vertical="center" wrapText="1"/>
    </x:xf>
    <x:xf numFmtId="0" fontId="0" fillId="7" borderId="2" xfId="0" applyAlignment="1">
      <x:alignment horizontal="center" vertical="center" wrapText="1"/>
    </x:xf>
    <x:xf numFmtId="0" fontId="0" fillId="6" borderId="2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0" fontId="5" fillId="8" borderId="2" xfId="0" applyAlignment="1">
      <x:alignment horizontal="left" vertical="top" wrapText="1"/>
    </x:xf>
    <x:xf numFmtId="0" fontId="5" fillId="8" borderId="2" xfId="0" applyAlignment="1">
      <x:alignment horizontal="center" vertical="center" wrapText="1"/>
    </x:xf>
    <x:xf numFmtId="165" fontId="5" fillId="8" borderId="2" xfId="0" applyAlignment="1">
      <x:alignment horizontal="center" vertical="center" wrapText="1"/>
    </x:xf>
    <x:xf numFmtId="166" fontId="5" fillId="8" borderId="2" xfId="0" applyAlignment="1">
      <x:alignment horizontal="center" vertical="center" wrapText="1"/>
    </x:xf>
    <x:xf numFmtId="0" fontId="5" fillId="0" borderId="2" xfId="0" applyAlignment="1">
      <x:alignment horizontal="left" vertical="top" wrapText="1"/>
    </x:xf>
    <x:xf numFmtId="0" fontId="5" fillId="0" borderId="2" xfId="0" applyAlignment="1">
      <x:alignment horizontal="center" vertical="center" wrapText="1"/>
    </x:xf>
    <x:xf numFmtId="165" fontId="5" fillId="0" borderId="2" xfId="0" applyAlignment="1">
      <x:alignment horizontal="center" vertical="center" wrapText="1"/>
    </x:xf>
    <x:xf numFmtId="166" fontId="5" fillId="0" borderId="2" xfId="0" applyAlignment="1">
      <x:alignment horizontal="center" vertical="center" wrapText="1"/>
    </x:xf>
    <x:xf numFmtId="0" fontId="2" fillId="4" borderId="0" xfId="0"/>
    <x:xf numFmtId="0" fontId="4" fillId="2" borderId="0" xfId="0" applyAlignment="1">
      <x:alignment horizontal="center" vertical="center" wrapText="1"/>
    </x:xf>
    <x:xf numFmtId="166" fontId="0" fillId="0" borderId="2" xfId="0" applyAlignment="1">
      <x:alignment horizontal="center" vertical="center" wrapText="1"/>
    </x:xf>
  </x:cellXfs>
  <x:cellStyles count="1">
    <x:cellStyle name="Normal" xfId="0"/>
  </x:cellStyles>
  <x:dxfs count="5">
    <x:dxf>
      <x:fill>
        <x:patternFill>
          <x:bgColor rgb="00C6EFCE"/>
        </x:patternFill>
      </x:fill>
    </x:dxf>
    <x:dxf>
      <x:fill>
        <x:patternFill>
          <x:bgColor rgb="00DDEBF7"/>
        </x:patternFill>
      </x:fill>
    </x:dxf>
    <x:dxf>
      <x:fill>
        <x:patternFill>
          <x:bgColor rgb="00F4CCCC"/>
        </x:patternFill>
      </x:fill>
    </x:dxf>
    <x:dxf>
      <x:fill>
        <x:patternFill>
          <x:bgColor rgb="00F3F4F6"/>
        </x:patternFill>
      </x:fill>
    </x:dxf>
    <x:dxf>
      <x:fill>
        <x:patternFill>
          <x:bgColor rgb="00FDE9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e14203fbd404a" /><Relationship Type="http://schemas.openxmlformats.org/officeDocument/2006/relationships/theme" Target="/xl/theme/theme1.xml" Id="Rab6a69b79f2f4812" /><Relationship Type="http://schemas.openxmlformats.org/officeDocument/2006/relationships/sharedStrings" Target="/xl/sharedStrings.xml" Id="Rbd5dd31df0454b97" /><Relationship Type="http://schemas.openxmlformats.org/officeDocument/2006/relationships/worksheet" Target="/xl/worksheets/sheet1.xml" Id="Rbf89eca2ad9a44e9" /><Relationship Type="http://schemas.openxmlformats.org/officeDocument/2006/relationships/worksheet" Target="/xl/worksheets/sheet2.xml" Id="R4e51eaa103ba4f3a" /><Relationship Type="http://schemas.openxmlformats.org/officeDocument/2006/relationships/worksheet" Target="/xl/worksheets/sheet3.xml" Id="Rfcac78c6de6c4476" /><Relationship Type="http://schemas.openxmlformats.org/officeDocument/2006/relationships/worksheet" Target="/xl/worksheets/sheet4.xml" Id="Rb73df72e6a1942ba" /><Relationship Type="http://schemas.microsoft.com/office/2017/10/relationships/person" Target="/xl/persons/person.xml" Id="R8fdc2cc387754c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1854c4aa9f4fd1" /><Relationship Type="http://schemas.openxmlformats.org/officeDocument/2006/relationships/chart" Target="/xl/drawings/charts/chart2.xml" Id="R6f5865301dbe4745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Phân bổ trạng thái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'Dashboard'!E3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Số đầu việc theo vai trò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'Dashboard'!H3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'Dashboard'!$G$4:$G$9</c:f>
              <c:strCache>
                <c:ptCount val="0"/>
              </c:strCache>
            </c:strRef>
          </c:cat>
          <c:val>
            <c:numRef>
              <c:f>'Dashboard'!$H$4:$H$9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Vai trò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Số đầu việc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1854c4aa9f4f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5865301dbe474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54735F13-F6C7-5B8B-7E86-4B9643CDAA0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521070881cc4703" /><Relationship Type="http://schemas.openxmlformats.org/officeDocument/2006/relationships/vmlDrawing" Target="/xl/drawings/vmldrawing.vml" Id="Re14bed0bc640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ac59f2d051c45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2" customWidth="1"/>
    <x:col min="3" max="3" width="55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22" customHeight="1">
      <x:c r="A1" s="1" t="inlineStr">
        <x:is>
          <x:t xml:space="preserve">BẢNG KẾ HOẠCH CHI TIẾT DỰ ÁN SỐ HÓA &amp; AI CHO CÔNG TY LUẬT</x:t>
        </x:is>
      </x:c>
    </x:row>
    <x:row r="2" ht="22" customHeight="1"/>
    <x:row r="3" ht="22" customHeight="1">
      <x:c r="A3" s="2" t="inlineStr">
        <x:is>
          <x:t xml:space="preserve">Tên dự án</x:t>
        </x:is>
      </x:c>
      <x:c r="B3" s="3" t="inlineStr">
        <x:is>
          <x:t xml:space="preserve">Triển khai hệ thống số hóa hồ sơ, OCR, RAG pháp lý và quản trị vụ việc</x:t>
        </x:is>
      </x:c>
    </x:row>
    <x:row r="4" ht="22" customHeight="1">
      <x:c r="A4" s="2" t="inlineStr">
        <x:is>
          <x:t xml:space="preserve">Thời lượng</x:t>
        </x:is>
      </x:c>
      <x:c r="B4" s="3" t="inlineStr">
        <x:is>
          <x:t xml:space="preserve">6 tháng (24 tuần)</x:t>
        </x:is>
      </x:c>
    </x:row>
    <x:row r="5" ht="22" customHeight="1">
      <x:c r="A5" s="2" t="inlineStr">
        <x:is>
          <x:t xml:space="preserve">Ngày bắt đầu mẫu</x:t>
        </x:is>
      </x:c>
      <x:c r="B5" s="4" t="n">
        <x:v>46111</x:v>
      </x:c>
    </x:row>
    <x:row r="6" ht="22" customHeight="1">
      <x:c r="A6" s="2" t="inlineStr">
        <x:is>
          <x:t xml:space="preserve">Mục tiêu</x:t>
        </x:is>
      </x:c>
      <x:c r="B6" s="3" t="inlineStr">
        <x:is>
          <x:t xml:space="preserve">Thiết lập nền tảng lưu trữ, số hóa, tra cứu, hỏi đáp pháp lý và vận hành vụ việc có nhắc hạn</x:t>
        </x:is>
      </x:c>
    </x:row>
    <x:row r="7" ht="22" customHeight="1">
      <x:c r="A7" s="2" t="inlineStr">
        <x:is>
          <x:t xml:space="preserve">Nguồn tham chiếu</x:t>
        </x:is>
      </x:c>
      <x:c r="B7" s="3" t="inlineStr">
        <x:is>
          <x:t xml:space="preserve">Đã dán markdown (1).md (người dùng cung cấp)</x:t>
        </x:is>
      </x:c>
    </x:row>
    <x:row r="8" ht="22" customHeight="1"/>
    <x:row r="9" ht="22" customHeight="1">
      <x:c r="A9" s="5" t="inlineStr">
        <x:is>
          <x:t xml:space="preserve">HƯỚNG DẪN SỬ DỤNG</x:t>
        </x:is>
      </x:c>
    </x:row>
    <x:row r="10" ht="22" customHeight="1">
      <x:c r="A10" s="3" t="inlineStr">
        <x:is>
          <x:t xml:space="preserve">1. Mở sheet 'Ke_hoach_chi_tiet' để quản lý công việc theo tuần.</x:t>
        </x:is>
      </x:c>
    </x:row>
    <x:row r="11" ht="22" customHeight="1">
      <x:c r="A11" s="3" t="inlineStr">
        <x:is>
          <x:t xml:space="preserve">2. Chỉnh ô B3 trong sheet 'Ke_hoach_chi_tiet' nếu muốn dời toàn bộ lịch.</x:t>
        </x:is>
      </x:c>
    </x:row>
    <x:row r="12" ht="22" customHeight="1">
      <x:c r="A12" s="3" t="inlineStr">
        <x:is>
          <x:t xml:space="preserve">3. Cập nhật cột '% HT' và 'Trạng thái' hàng tuần để dashboard tự tổng hợp.</x:t>
        </x:is>
      </x:c>
    </x:row>
    <x:row r="13" ht="22" customHeight="1">
      <x:c r="A13" s="3" t="inlineStr">
        <x:is>
          <x:t xml:space="preserve">4. Cột 'Link/Tài liệu' dùng để gắn link Google Drive / biên bản / ticket nội bộ.</x:t>
        </x:is>
      </x:c>
    </x:row>
    <x:row r="14" ht="22" customHeight="1">
      <x:c r="A14" s="3" t="inlineStr">
        <x:is>
          <x:t xml:space="preserve">5. Sheet 'KPI_Rui_ro' dùng để theo dõi KPI tháng và các rủi ro trọng yếu.</x:t>
        </x:is>
      </x:c>
    </x:row>
    <x:row r="15" ht="22" customHeight="1"/>
    <x:row r="16" ht="22" customHeight="1">
      <x:c r="A16" s="5" t="inlineStr">
        <x:is>
          <x:t xml:space="preserve">NHÂN SỰ ĐỀ XUẤT</x:t>
        </x:is>
      </x:c>
    </x:row>
    <x:row r="17" ht="22" customHeight="1">
      <x:c r="A17" s="6" t="inlineStr">
        <x:is>
          <x:t xml:space="preserve">Vai trò</x:t>
        </x:is>
      </x:c>
      <x:c r="B17" s="6" t="inlineStr">
        <x:is>
          <x:t xml:space="preserve">Số lượng</x:t>
        </x:is>
      </x:c>
      <x:c r="C17" s="6" t="inlineStr">
        <x:is>
          <x:t xml:space="preserve">Phạm vi trách nhiệm</x:t>
        </x:is>
      </x:c>
    </x:row>
    <x:row r="18" ht="22" customHeight="1">
      <x:c r="A18" s="7" t="inlineStr">
        <x:is>
          <x:t xml:space="preserve">PM/BA</x:t>
        </x:is>
      </x:c>
      <x:c r="B18" s="7" t="n">
        <x:v>1</x:v>
      </x:c>
      <x:c r="C18" s="7" t="inlineStr">
        <x:is>
          <x:t xml:space="preserve">Điều phối, nghiệp vụ pháp lý, phạm vi, backlog, UAT, đào tạo</x:t>
        </x:is>
      </x:c>
    </x:row>
    <x:row r="19" ht="22" customHeight="1">
      <x:c r="A19" s="7" t="inlineStr">
        <x:is>
          <x:t xml:space="preserve">Data/OCR Engineer</x:t>
        </x:is>
      </x:c>
      <x:c r="B19" s="7" t="n">
        <x:v>1</x:v>
      </x:c>
      <x:c r="C19" s="7" t="inlineStr">
        <x:is>
          <x:t xml:space="preserve">OCR, tiền xử lý ảnh scan, benchmark chất lượng</x:t>
        </x:is>
      </x:c>
    </x:row>
    <x:row r="20" ht="22" customHeight="1">
      <x:c r="A20" s="7" t="inlineStr">
        <x:is>
          <x:t xml:space="preserve">AI Engineer</x:t>
        </x:is>
      </x:c>
      <x:c r="B20" s="7" t="n">
        <x:v>1</x:v>
      </x:c>
      <x:c r="C20" s="7" t="inlineStr">
        <x:is>
          <x:t xml:space="preserve">RAG, retriever, prompt, đánh giá độ trung thực</x:t>
        </x:is>
      </x:c>
    </x:row>
    <x:row r="21" ht="22" customHeight="1">
      <x:c r="A21" s="7" t="inlineStr">
        <x:is>
          <x:t xml:space="preserve">Backend/Integration Engineer</x:t>
        </x:is>
      </x:c>
      <x:c r="B21" s="7" t="n">
        <x:v>1</x:v>
      </x:c>
      <x:c r="C21" s="7" t="inlineStr">
        <x:is>
          <x:t xml:space="preserve">CSDL, dashboard, tích hợp ký số / QR / tài liệu</x:t>
        </x:is>
      </x:c>
    </x:row>
    <x:row r="22" ht="22" customHeight="1">
      <x:c r="A22" s="7" t="inlineStr">
        <x:is>
          <x:t xml:space="preserve">QA/UAT Coordinator</x:t>
        </x:is>
      </x:c>
      <x:c r="B22" s="7" t="n">
        <x:v>1</x:v>
      </x:c>
      <x:c r="C22" s="7" t="inlineStr">
        <x:is>
          <x:t xml:space="preserve">Kịch bản test, ghi nhận lỗi, nghiệm thu</x:t>
        </x:is>
      </x:c>
    </x:row>
    <x:row r="23" ht="22" customHeight="1">
      <x:c r="A23" s="7" t="inlineStr">
        <x:is>
          <x:t xml:space="preserve">IT Admin</x:t>
        </x:is>
      </x:c>
      <x:c r="B23" s="7" t="n">
        <x:v>1</x:v>
      </x:c>
      <x:c r="C23" s="7" t="inlineStr">
        <x:is>
          <x:t xml:space="preserve">Hạ tầng, phân quyền, backup, log, bảo mật</x:t>
        </x:is>
      </x:c>
    </x:row>
  </x:sheetData>
  <x:mergeCells>
    <x:mergeCell ref="A9:H9"/>
    <x:mergeCell ref="A12:H12"/>
    <x:mergeCell ref="B4:H4"/>
    <x:mergeCell ref="A16:H16"/>
    <x:mergeCell ref="A10:H10"/>
    <x:mergeCell ref="B6:H6"/>
    <x:mergeCell ref="A13:H13"/>
    <x:mergeCell ref="A11:H11"/>
    <x:mergeCell ref="A14:H14"/>
    <x:mergeCell ref="B7:H7"/>
    <x:mergeCell ref="A1:H1"/>
    <x:mergeCell ref="B3:H3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8" customWidth="1"/>
    <x:col min="3" max="3" width="18" customWidth="1"/>
    <x:col min="4" max="4" width="28" customWidth="1"/>
    <x:col min="5" max="5" width="48" customWidth="1"/>
    <x:col min="6" max="6" width="22" customWidth="1"/>
    <x:col min="7" max="7" width="28" customWidth="1"/>
    <x:col min="8" max="8" width="26" customWidth="1"/>
    <x:col min="9" max="9" width="32" customWidth="1"/>
    <x:col min="10" max="10" width="12" customWidth="1"/>
    <x:col min="11" max="11" width="13" customWidth="1"/>
    <x:col min="12" max="12" width="13" customWidth="1"/>
    <x:col min="13" max="13" width="9" customWidth="1"/>
    <x:col min="14" max="14" width="16" customWidth="1"/>
    <x:col min="15" max="15" width="14" customWidth="1"/>
    <x:col min="16" max="16" width="28" customWidth="1"/>
    <x:col min="17" max="17" width="20" customWidth="1"/>
  </x:cols>
  <x:sheetData>
    <x:row r="1" ht="28" customHeight="1">
      <x:c r="A1" s="1" t="inlineStr">
        <x:is>
          <x:t xml:space="preserve">KẾ HOẠCH CHI TIẾT 24 TUẦN - DỰ ÁN SỐ HÓA &amp; AI CHO CÔNG TY LUẬT</x:t>
        </x:is>
      </x:c>
    </x:row>
    <x:row r="2" ht="26" customHeight="1"/>
    <x:row r="3" ht="26" customHeight="1">
      <x:c r="A3" s="8" t="inlineStr">
        <x:is>
          <x:t xml:space="preserve">Ngày bắt đầu dự án</x:t>
        </x:is>
      </x:c>
      <x:c r="B3" s="9" t="n">
        <x:v>46111</x:v>
      </x:c>
      <x:c r="D3" s="8" t="inlineStr">
        <x:is>
          <x:t xml:space="preserve">Tổng tuần</x:t>
        </x:is>
      </x:c>
      <x:c r="E3" s="10" t="n">
        <x:v>24</x:v>
      </x:c>
      <x:c r="G3" s="8" t="inlineStr">
        <x:is>
          <x:t xml:space="preserve">Tổng đầu việc</x:t>
        </x:is>
      </x:c>
      <x:c r="H3" s="11">
        <x:f>COUNTA(B7:B30)</x:f>
        <x:v>24</x:v>
      </x:c>
      <x:c r="J3" s="8" t="inlineStr">
        <x:is>
          <x:t xml:space="preserve">Tiến độ TB</x:t>
        </x:is>
      </x:c>
      <x:c r="K3" s="11">
        <x:f>IFERROR(AVERAGE(M7:M30),0)</x:f>
        <x:v>0</x:v>
      </x:c>
      <x:c r="M3" s="8" t="inlineStr">
        <x:is>
          <x:t xml:space="preserve">Số việc hoàn thành</x:t>
        </x:is>
      </x:c>
      <x:c r="N3" s="11">
        <x:f>COUNTIF(N7:N30,"Hoàn thành")</x:f>
        <x:v>0</x:v>
      </x:c>
    </x:row>
    <x:row r="4" ht="26" customHeight="1">
      <x:c r="A4" s="8" t="inlineStr">
        <x:is>
          <x:t xml:space="preserve">Hướng dẫn</x:t>
        </x:is>
      </x:c>
      <x:c r="B4" s="12" t="inlineStr">
        <x:is>
          <x:t xml:space="preserve">Chỉnh B3 để dời toàn bộ lịch</x:t>
        </x:is>
      </x:c>
      <x:c r="D4" s="8" t="inlineStr">
        <x:is>
          <x:t xml:space="preserve">Mốc hiện tại</x:t>
        </x:is>
      </x:c>
      <x:c r="E4" s="10" t="str">
        <x:f>MIN(MAX(1,INT((TODAY()-$B$3)/7)+1),$E$3)&amp;"/"&amp;$E$3</x:f>
        <x:v>1/24</x:v>
      </x:c>
      <x:c r="G4" s="8" t="inlineStr">
        <x:is>
          <x:t xml:space="preserve">Việc đang chạy</x:t>
        </x:is>
      </x:c>
      <x:c r="H4" s="11">
        <x:f>COUNTIF(N7:N30,"Đang thực hiện")</x:f>
        <x:v>0</x:v>
      </x:c>
      <x:c r="J4" s="8" t="inlineStr">
        <x:is>
          <x:t xml:space="preserve">Việc chưa bắt đầu</x:t>
        </x:is>
      </x:c>
      <x:c r="K4" s="11">
        <x:f>COUNTIF(N7:N30,"Chưa bắt đầu")</x:f>
        <x:v>24</x:v>
      </x:c>
      <x:c r="M4" s="8" t="inlineStr">
        <x:is>
          <x:t xml:space="preserve">Việc quá hạn</x:t>
        </x:is>
      </x:c>
      <x:c r="N4" s="11">
        <x:f>COUNTIFS(N7:N30,"&lt;&gt;Hoàn thành",L7:L30,"&lt;"&amp;TODAY())</x:f>
        <x:v>0</x:v>
      </x:c>
    </x:row>
    <x:row r="5" ht="26" customHeight="1"/>
    <x:row r="6" ht="26" customHeight="1">
      <x:c r="A6" s="6" t="inlineStr">
        <x:is>
          <x:t xml:space="preserve">Tháng</x:t>
        </x:is>
      </x:c>
      <x:c r="B6" s="6" t="inlineStr">
        <x:is>
          <x:t xml:space="preserve">Tuần</x:t>
        </x:is>
      </x:c>
      <x:c r="C6" s="6" t="inlineStr">
        <x:is>
          <x:t xml:space="preserve">Giai đoạn</x:t>
        </x:is>
      </x:c>
      <x:c r="D6" s="6" t="inlineStr">
        <x:is>
          <x:t xml:space="preserve">Mục tiêu tuần</x:t>
        </x:is>
      </x:c>
      <x:c r="E6" s="6" t="inlineStr">
        <x:is>
          <x:t xml:space="preserve">Đầu việc chi tiết</x:t>
        </x:is>
      </x:c>
      <x:c r="F6" s="6" t="inlineStr">
        <x:is>
          <x:t xml:space="preserve">Phụ trách chính</x:t>
        </x:is>
      </x:c>
      <x:c r="G6" s="6" t="inlineStr">
        <x:is>
          <x:t xml:space="preserve">Phối hợp</x:t>
        </x:is>
      </x:c>
      <x:c r="H6" s="6" t="inlineStr">
        <x:is>
          <x:t xml:space="preserve">Đầu ra</x:t>
        </x:is>
      </x:c>
      <x:c r="I6" s="6" t="inlineStr">
        <x:is>
          <x:t xml:space="preserve">KPI / Tiêu chí nghiệm thu</x:t>
        </x:is>
      </x:c>
      <x:c r="J6" s="6" t="inlineStr">
        <x:is>
          <x:t xml:space="preserve">Ưu tiên</x:t>
        </x:is>
      </x:c>
      <x:c r="K6" s="6" t="inlineStr">
        <x:is>
          <x:t xml:space="preserve">Bắt đầu</x:t>
        </x:is>
      </x:c>
      <x:c r="L6" s="6" t="inlineStr">
        <x:is>
          <x:t xml:space="preserve">Kết thúc</x:t>
        </x:is>
      </x:c>
      <x:c r="M6" s="6" t="inlineStr">
        <x:is>
          <x:t xml:space="preserve">% HT</x:t>
        </x:is>
      </x:c>
      <x:c r="N6" s="6" t="inlineStr">
        <x:is>
          <x:t xml:space="preserve">Trạng thái</x:t>
        </x:is>
      </x:c>
      <x:c r="O6" s="6" t="inlineStr">
        <x:is>
          <x:t xml:space="preserve">Phụ thuộc</x:t>
        </x:is>
      </x:c>
      <x:c r="P6" s="6" t="inlineStr">
        <x:is>
          <x:t xml:space="preserve">Rủi ro / Lưu ý</x:t>
        </x:is>
      </x:c>
      <x:c r="Q6" s="6" t="inlineStr">
        <x:is>
          <x:t xml:space="preserve">Link/Tài liệu</x:t>
        </x:is>
      </x:c>
    </x:row>
    <x:row r="7" ht="46" customHeight="1">
      <x:c r="A7" s="13" t="inlineStr">
        <x:is>
          <x:t xml:space="preserve">Tháng 1</x:t>
        </x:is>
      </x:c>
      <x:c r="B7" s="14" t="n">
        <x:v>1</x:v>
      </x:c>
      <x:c r="C7" s="13" t="inlineStr">
        <x:is>
          <x:t xml:space="preserve">Khởi động</x:t>
        </x:is>
      </x:c>
      <x:c r="D7" s="13" t="inlineStr">
        <x:is>
          <x:t xml:space="preserve">Chốt phạm vi và kiến trúc MVP</x:t>
        </x:is>
      </x:c>
      <x:c r="E7" s="13" t="inlineStr">
        <x:is>
          <x:t xml:space="preserve">Kickoff dự án; chốt mục tiêu MVP; chốt phạm vi phase 1-2; chốt kiến trúc On-premise hoặc Cloud hybrid</x:t>
        </x:is>
      </x:c>
      <x:c r="F7" s="13" t="inlineStr">
        <x:is>
          <x:t xml:space="preserve">PM/BA</x:t>
        </x:is>
      </x:c>
      <x:c r="G7" s="13" t="inlineStr">
        <x:is>
          <x:t xml:space="preserve">IT Admin, Backend/Integration Engineer</x:t>
        </x:is>
      </x:c>
      <x:c r="H7" s="13" t="inlineStr">
        <x:is>
          <x:t xml:space="preserve">Tài liệu phạm vi + backlog ưu tiên</x:t>
        </x:is>
      </x:c>
      <x:c r="I7" s="13" t="inlineStr">
        <x:is>
          <x:t xml:space="preserve">Backlog được duyệt; kiến trúc được chốt</x:t>
        </x:is>
      </x:c>
      <x:c r="J7" s="14" t="inlineStr">
        <x:is>
          <x:t xml:space="preserve">Cao</x:t>
        </x:is>
      </x:c>
      <x:c r="K7" s="15">
        <x:f>$B$3+(B7-1)*7</x:f>
        <x:v>46111</x:v>
      </x:c>
      <x:c r="L7" s="15">
        <x:f>K7+6</x:f>
        <x:v>46117</x:v>
      </x:c>
      <x:c r="M7" s="16" t="n">
        <x:v>0</x:v>
      </x:c>
      <x:c r="N7" s="14" t="inlineStr">
        <x:is>
          <x:t xml:space="preserve">Chưa bắt đầu</x:t>
        </x:is>
      </x:c>
      <x:c r="O7" s="13" t="inlineStr">
        <x:is>
          <x:t xml:space="preserve">Không</x:t>
        </x:is>
      </x:c>
      <x:c r="P7" s="13" t="inlineStr">
        <x:is>
          <x:t xml:space="preserve">Cần thống nhất phạm vi ngay từ đầu</x:t>
        </x:is>
      </x:c>
      <x:c r="Q7" s="13" t="inlineStr">
        <x:is>
          <x:t xml:space="preserve"/>
        </x:is>
      </x:c>
    </x:row>
    <x:row r="8" ht="46" customHeight="1">
      <x:c r="A8" s="13" t="inlineStr">
        <x:is>
          <x:t xml:space="preserve">Tháng 1</x:t>
        </x:is>
      </x:c>
      <x:c r="B8" s="14" t="n">
        <x:v>2</x:v>
      </x:c>
      <x:c r="C8" s="13" t="inlineStr">
        <x:is>
          <x:t xml:space="preserve">Chuẩn hóa dữ liệu</x:t>
        </x:is>
      </x:c>
      <x:c r="D8" s="13" t="inlineStr">
        <x:is>
          <x:t xml:space="preserve">Chuẩn hóa cấu trúc hồ sơ và metadata</x:t>
        </x:is>
      </x:c>
      <x:c r="E8" s="13" t="inlineStr">
        <x:is>
          <x:t xml:space="preserve">Thiết kế cấu trúc thư mục hồ sơ pháp lý chuẩn; quy định metadata bắt buộc: mã vụ việc, đương sự, ngày nhận, hạn chót</x:t>
        </x:is>
      </x:c>
      <x:c r="F8" s="13" t="inlineStr">
        <x:is>
          <x:t xml:space="preserve">PM/BA</x:t>
        </x:is>
      </x:c>
      <x:c r="G8" s="13" t="inlineStr">
        <x:is>
          <x:t xml:space="preserve">IT Admin, Backend/Integration Engineer</x:t>
        </x:is>
      </x:c>
      <x:c r="H8" s="13" t="inlineStr">
        <x:is>
          <x:t xml:space="preserve">Chuẩn đặt tên file + checklist nhập liệu</x:t>
        </x:is>
      </x:c>
      <x:c r="I8" s="13" t="inlineStr">
        <x:is>
          <x:t xml:space="preserve">100% trường metadata bắt buộc được định nghĩa</x:t>
        </x:is>
      </x:c>
      <x:c r="J8" s="14" t="inlineStr">
        <x:is>
          <x:t xml:space="preserve">Cao</x:t>
        </x:is>
      </x:c>
      <x:c r="K8" s="15">
        <x:f>$B$3+(B8-1)*7</x:f>
        <x:v>46118</x:v>
      </x:c>
      <x:c r="L8" s="15">
        <x:f>K8+6</x:f>
        <x:v>46124</x:v>
      </x:c>
      <x:c r="M8" s="16" t="n">
        <x:v>0</x:v>
      </x:c>
      <x:c r="N8" s="14" t="inlineStr">
        <x:is>
          <x:t xml:space="preserve">Chưa bắt đầu</x:t>
        </x:is>
      </x:c>
      <x:c r="O8" s="13" t="inlineStr">
        <x:is>
          <x:t xml:space="preserve">Tuần 1</x:t>
        </x:is>
      </x:c>
      <x:c r="P8" s="13" t="inlineStr">
        <x:is>
          <x:t xml:space="preserve">Thiếu chuẩn dữ liệu sẽ kéo lỗi sang các phase sau</x:t>
        </x:is>
      </x:c>
      <x:c r="Q8" s="13" t="inlineStr">
        <x:is>
          <x:t xml:space="preserve"/>
        </x:is>
      </x:c>
    </x:row>
    <x:row r="9" ht="46" customHeight="1">
      <x:c r="A9" s="13" t="inlineStr">
        <x:is>
          <x:t xml:space="preserve">Tháng 1</x:t>
        </x:is>
      </x:c>
      <x:c r="B9" s="14" t="n">
        <x:v>3</x:v>
      </x:c>
      <x:c r="C9" s="13" t="inlineStr">
        <x:is>
          <x:t xml:space="preserve">Hạ tầng</x:t>
        </x:is>
      </x:c>
      <x:c r="D9" s="13" t="inlineStr">
        <x:is>
          <x:t xml:space="preserve">Thiết lập kho lưu trữ và phân quyền</x:t>
        </x:is>
      </x:c>
      <x:c r="E9" s="13" t="inlineStr">
        <x:is>
          <x:t xml:space="preserve">Dựng kho lưu trữ trung tâm NAS/Drive; thiết lập nhóm người dùng; phân quyền truy cập; cấu hình backup hàng ngày/tuần</x:t>
        </x:is>
      </x:c>
      <x:c r="F9" s="13" t="inlineStr">
        <x:is>
          <x:t xml:space="preserve">IT Admin</x:t>
        </x:is>
      </x:c>
      <x:c r="G9" s="13" t="inlineStr">
        <x:is>
          <x:t xml:space="preserve">PM/BA</x:t>
        </x:is>
      </x:c>
      <x:c r="H9" s="13" t="inlineStr">
        <x:is>
          <x:t xml:space="preserve">Môi trường lưu trữ vận hành ổn định</x:t>
        </x:is>
      </x:c>
      <x:c r="I9" s="13" t="inlineStr">
        <x:is>
          <x:t xml:space="preserve">Backup chạy thành công; phân quyền test pass</x:t>
        </x:is>
      </x:c>
      <x:c r="J9" s="14" t="inlineStr">
        <x:is>
          <x:t xml:space="preserve">Cao</x:t>
        </x:is>
      </x:c>
      <x:c r="K9" s="15">
        <x:f>$B$3+(B9-1)*7</x:f>
        <x:v>46125</x:v>
      </x:c>
      <x:c r="L9" s="15">
        <x:f>K9+6</x:f>
        <x:v>46131</x:v>
      </x:c>
      <x:c r="M9" s="16" t="n">
        <x:v>0</x:v>
      </x:c>
      <x:c r="N9" s="14" t="inlineStr">
        <x:is>
          <x:t xml:space="preserve">Chưa bắt đầu</x:t>
        </x:is>
      </x:c>
      <x:c r="O9" s="13" t="inlineStr">
        <x:is>
          <x:t xml:space="preserve">Tuần 2</x:t>
        </x:is>
      </x:c>
      <x:c r="P9" s="13" t="inlineStr">
        <x:is>
          <x:t xml:space="preserve">Cần lưu vết quyền truy cập</x:t>
        </x:is>
      </x:c>
      <x:c r="Q9" s="13" t="inlineStr">
        <x:is>
          <x:t xml:space="preserve"/>
        </x:is>
      </x:c>
    </x:row>
    <x:row r="10" ht="46" customHeight="1">
      <x:c r="A10" s="13" t="inlineStr">
        <x:is>
          <x:t xml:space="preserve">Tháng 1</x:t>
        </x:is>
      </x:c>
      <x:c r="B10" s="14" t="n">
        <x:v>4</x:v>
      </x:c>
      <x:c r="C10" s="13" t="inlineStr">
        <x:is>
          <x:t xml:space="preserve">CSDL tối thiểu</x:t>
        </x:is>
      </x:c>
      <x:c r="D10" s="13" t="inlineStr">
        <x:is>
          <x:t xml:space="preserve">Có bản vận hành nội bộ v0.1</x:t>
        </x:is>
      </x:c>
      <x:c r="E10" s="13" t="inlineStr">
        <x:is>
          <x:t xml:space="preserve">Dựng CSDL quản lý vụ việc tối thiểu: khách hàng, trạng thái, deadline; tạo log truy cập và nhật ký thao tác</x:t>
        </x:is>
      </x:c>
      <x:c r="F10" s="13" t="inlineStr">
        <x:is>
          <x:t xml:space="preserve">Backend/Integration Engineer</x:t>
        </x:is>
      </x:c>
      <x:c r="G10" s="13" t="inlineStr">
        <x:is>
          <x:t xml:space="preserve">PM/BA, IT Admin</x:t>
        </x:is>
      </x:c>
      <x:c r="H10" s="13" t="inlineStr">
        <x:is>
          <x:t xml:space="preserve">Bản vận hành nội bộ v0.1</x:t>
        </x:is>
      </x:c>
      <x:c r="I10" s="13" t="inlineStr">
        <x:is>
          <x:t xml:space="preserve">Tạo mới / cập nhật / tra cứu vụ việc hoạt động</x:t>
        </x:is>
      </x:c>
      <x:c r="J10" s="14" t="inlineStr">
        <x:is>
          <x:t xml:space="preserve">Cao</x:t>
        </x:is>
      </x:c>
      <x:c r="K10" s="15">
        <x:f>$B$3+(B10-1)*7</x:f>
        <x:v>46132</x:v>
      </x:c>
      <x:c r="L10" s="15">
        <x:f>K10+6</x:f>
        <x:v>46138</x:v>
      </x:c>
      <x:c r="M10" s="16" t="n">
        <x:v>0</x:v>
      </x:c>
      <x:c r="N10" s="14" t="inlineStr">
        <x:is>
          <x:t xml:space="preserve">Chưa bắt đầu</x:t>
        </x:is>
      </x:c>
      <x:c r="O10" s="13" t="inlineStr">
        <x:is>
          <x:t xml:space="preserve">Tuần 3</x:t>
        </x:is>
      </x:c>
      <x:c r="P10" s="13" t="inlineStr">
        <x:is>
          <x:t xml:space="preserve">Cần chốt model dữ liệu tối thiểu</x:t>
        </x:is>
      </x:c>
      <x:c r="Q10" s="13" t="inlineStr">
        <x:is>
          <x:t xml:space="preserve"/>
        </x:is>
      </x:c>
    </x:row>
    <x:row r="11" ht="46" customHeight="1">
      <x:c r="A11" s="17" t="inlineStr">
        <x:is>
          <x:t xml:space="preserve">Tháng 2</x:t>
        </x:is>
      </x:c>
      <x:c r="B11" s="18" t="n">
        <x:v>5</x:v>
      </x:c>
      <x:c r="C11" s="17" t="inlineStr">
        <x:is>
          <x:t xml:space="preserve">OCR benchmark</x:t>
        </x:is>
      </x:c>
      <x:c r="D11" s="17" t="inlineStr">
        <x:is>
          <x:t xml:space="preserve">Chọn engine OCR tiếng Việt</x:t>
        </x:is>
      </x:c>
      <x:c r="E11" s="17" t="inlineStr">
        <x:is>
          <x:t xml:space="preserve">Lựa chọn engine OCR; định nghĩa bộ tiêu chí đo chất lượng; chuẩn bị bộ tài liệu test: hợp đồng, đơn từ, quyết định tòa</x:t>
        </x:is>
      </x:c>
      <x:c r="F11" s="17" t="inlineStr">
        <x:is>
          <x:t xml:space="preserve">Data/OCR Engineer</x:t>
        </x:is>
      </x:c>
      <x:c r="G11" s="17" t="inlineStr">
        <x:is>
          <x:t xml:space="preserve">PM/BA</x:t>
        </x:is>
      </x:c>
      <x:c r="H11" s="17" t="inlineStr">
        <x:is>
          <x:t xml:space="preserve">Bộ benchmark OCR</x:t>
        </x:is>
      </x:c>
      <x:c r="I11" s="17" t="inlineStr">
        <x:is>
          <x:t xml:space="preserve">Có bộ test đại diện và thang điểm đánh giá</x:t>
        </x:is>
      </x:c>
      <x:c r="J11" s="18" t="inlineStr">
        <x:is>
          <x:t xml:space="preserve">Cao</x:t>
        </x:is>
      </x:c>
      <x:c r="K11" s="19">
        <x:f>$B$3+(B11-1)*7</x:f>
        <x:v>46139</x:v>
      </x:c>
      <x:c r="L11" s="19">
        <x:f>K11+6</x:f>
        <x:v>46145</x:v>
      </x:c>
      <x:c r="M11" s="20" t="n">
        <x:v>0</x:v>
      </x:c>
      <x:c r="N11" s="18" t="inlineStr">
        <x:is>
          <x:t xml:space="preserve">Chưa bắt đầu</x:t>
        </x:is>
      </x:c>
      <x:c r="O11" s="17" t="inlineStr">
        <x:is>
          <x:t xml:space="preserve">Tuần 4</x:t>
        </x:is>
      </x:c>
      <x:c r="P11" s="17" t="inlineStr">
        <x:is>
          <x:t xml:space="preserve">Nên chọn dữ liệu scan đa dạng chất lượng</x:t>
        </x:is>
      </x:c>
      <x:c r="Q11" s="17" t="inlineStr">
        <x:is>
          <x:t xml:space="preserve"/>
        </x:is>
      </x:c>
    </x:row>
    <x:row r="12" ht="46" customHeight="1">
      <x:c r="A12" s="17" t="inlineStr">
        <x:is>
          <x:t xml:space="preserve">Tháng 2</x:t>
        </x:is>
      </x:c>
      <x:c r="B12" s="18" t="n">
        <x:v>6</x:v>
      </x:c>
      <x:c r="C12" s="17" t="inlineStr">
        <x:is>
          <x:t xml:space="preserve">OCR pipeline</x:t>
        </x:is>
      </x:c>
      <x:c r="D12" s="17" t="inlineStr">
        <x:is>
          <x:t xml:space="preserve">Tạo pipeline OCR v1</x:t>
        </x:is>
      </x:c>
      <x:c r="E12" s="17" t="inlineStr">
        <x:is>
          <x:t xml:space="preserve">Xây pipeline OCR batch theo thư mục; tách các trường chính: tên đương sự, số hồ sơ, ngày, điều khoản</x:t>
        </x:is>
      </x:c>
      <x:c r="F12" s="17" t="inlineStr">
        <x:is>
          <x:t xml:space="preserve">Data/OCR Engineer</x:t>
        </x:is>
      </x:c>
      <x:c r="G12" s="17" t="inlineStr">
        <x:is>
          <x:t xml:space="preserve">Backend/Integration Engineer</x:t>
        </x:is>
      </x:c>
      <x:c r="H12" s="17" t="inlineStr">
        <x:is>
          <x:t xml:space="preserve">Pipeline OCR v1</x:t>
        </x:is>
      </x:c>
      <x:c r="I12" s="17" t="inlineStr">
        <x:is>
          <x:t xml:space="preserve">Tài liệu mẫu chạy qua pipeline thành công</x:t>
        </x:is>
      </x:c>
      <x:c r="J12" s="18" t="inlineStr">
        <x:is>
          <x:t xml:space="preserve">Cao</x:t>
        </x:is>
      </x:c>
      <x:c r="K12" s="19">
        <x:f>$B$3+(B12-1)*7</x:f>
        <x:v>46146</x:v>
      </x:c>
      <x:c r="L12" s="19">
        <x:f>K12+6</x:f>
        <x:v>46152</x:v>
      </x:c>
      <x:c r="M12" s="20" t="n">
        <x:v>0</x:v>
      </x:c>
      <x:c r="N12" s="18" t="inlineStr">
        <x:is>
          <x:t xml:space="preserve">Chưa bắt đầu</x:t>
        </x:is>
      </x:c>
      <x:c r="O12" s="17" t="inlineStr">
        <x:is>
          <x:t xml:space="preserve">Tuần 5</x:t>
        </x:is>
      </x:c>
      <x:c r="P12" s="17" t="inlineStr">
        <x:is>
          <x:t xml:space="preserve">Phải lưu kết quả text và log lỗi</x:t>
        </x:is>
      </x:c>
      <x:c r="Q12" s="17" t="inlineStr">
        <x:is>
          <x:t xml:space="preserve"/>
        </x:is>
      </x:c>
    </x:row>
    <x:row r="13" ht="46" customHeight="1">
      <x:c r="A13" s="17" t="inlineStr">
        <x:is>
          <x:t xml:space="preserve">Tháng 2</x:t>
        </x:is>
      </x:c>
      <x:c r="B13" s="18" t="n">
        <x:v>7</x:v>
      </x:c>
      <x:c r="C13" s="17" t="inlineStr">
        <x:is>
          <x:t xml:space="preserve">Tối ưu OCR</x:t>
        </x:is>
      </x:c>
      <x:c r="D13" s="17" t="inlineStr">
        <x:is>
          <x:t xml:space="preserve">Nâng độ chấp nhận thực tế</x:t>
        </x:is>
      </x:c>
      <x:c r="E13" s="17" t="inlineStr">
        <x:is>
          <x:t xml:space="preserve">Cải thiện xử lý scan xấu: nghiêng, mờ, nhiễu; thiết lập quy trình soát tay bắt buộc cho hồ sơ quan trọng</x:t>
        </x:is>
      </x:c>
      <x:c r="F13" s="17" t="inlineStr">
        <x:is>
          <x:t xml:space="preserve">Data/OCR Engineer</x:t>
        </x:is>
      </x:c>
      <x:c r="G13" s="17" t="inlineStr">
        <x:is>
          <x:t xml:space="preserve">QA/UAT Coordinator</x:t>
        </x:is>
      </x:c>
      <x:c r="H13" s="17" t="inlineStr">
        <x:is>
          <x:t xml:space="preserve">OCR đạt mức chấp nhận thực tế</x:t>
        </x:is>
      </x:c>
      <x:c r="I13" s="17" t="inlineStr">
        <x:is>
          <x:t xml:space="preserve">Giảm lỗi OCR trên mẫu scan xấu</x:t>
        </x:is>
      </x:c>
      <x:c r="J13" s="18" t="inlineStr">
        <x:is>
          <x:t xml:space="preserve">Cao</x:t>
        </x:is>
      </x:c>
      <x:c r="K13" s="19">
        <x:f>$B$3+(B13-1)*7</x:f>
        <x:v>46153</x:v>
      </x:c>
      <x:c r="L13" s="19">
        <x:f>K13+6</x:f>
        <x:v>46159</x:v>
      </x:c>
      <x:c r="M13" s="20" t="n">
        <x:v>0</x:v>
      </x:c>
      <x:c r="N13" s="18" t="inlineStr">
        <x:is>
          <x:t xml:space="preserve">Chưa bắt đầu</x:t>
        </x:is>
      </x:c>
      <x:c r="O13" s="17" t="inlineStr">
        <x:is>
          <x:t xml:space="preserve">Tuần 6</x:t>
        </x:is>
      </x:c>
      <x:c r="P13" s="17" t="inlineStr">
        <x:is>
          <x:t xml:space="preserve">Bắt buộc human-in-the-loop cho hồ sơ nhạy cảm</x:t>
        </x:is>
      </x:c>
      <x:c r="Q13" s="17" t="inlineStr">
        <x:is>
          <x:t xml:space="preserve"/>
        </x:is>
      </x:c>
    </x:row>
    <x:row r="14" ht="46" customHeight="1">
      <x:c r="A14" s="17" t="inlineStr">
        <x:is>
          <x:t xml:space="preserve">Tháng 2</x:t>
        </x:is>
      </x:c>
      <x:c r="B14" s="18" t="n">
        <x:v>8</x:v>
      </x:c>
      <x:c r="C14" s="17" t="inlineStr">
        <x:is>
          <x:t xml:space="preserve">Tra cứu số hóa</x:t>
        </x:is>
      </x:c>
      <x:c r="D14" s="17" t="inlineStr">
        <x:is>
          <x:t xml:space="preserve">Đồng bộ OCR vào hệ thống</x:t>
        </x:is>
      </x:c>
      <x:c r="E14" s="17" t="inlineStr">
        <x:is>
          <x:t xml:space="preserve">Đồng bộ kết quả OCR vào CSDL vụ việc; tạo màn hình tra cứu văn bản từ dữ liệu đã số hóa</x:t>
        </x:is>
      </x:c>
      <x:c r="F14" s="17" t="inlineStr">
        <x:is>
          <x:t xml:space="preserve">Backend/Integration Engineer</x:t>
        </x:is>
      </x:c>
      <x:c r="G14" s="17" t="inlineStr">
        <x:is>
          <x:t xml:space="preserve">Data/OCR Engineer</x:t>
        </x:is>
      </x:c>
      <x:c r="H14" s="17" t="inlineStr">
        <x:is>
          <x:t xml:space="preserve">Tra cứu nội bộ cơ bản hoạt động</x:t>
        </x:is>
      </x:c>
      <x:c r="I14" s="17" t="inlineStr">
        <x:is>
          <x:t xml:space="preserve">Tra cứu theo tên/số hồ sơ/ngày hoạt động</x:t>
        </x:is>
      </x:c>
      <x:c r="J14" s="18" t="inlineStr">
        <x:is>
          <x:t xml:space="preserve">Cao</x:t>
        </x:is>
      </x:c>
      <x:c r="K14" s="19">
        <x:f>$B$3+(B14-1)*7</x:f>
        <x:v>46160</x:v>
      </x:c>
      <x:c r="L14" s="19">
        <x:f>K14+6</x:f>
        <x:v>46166</x:v>
      </x:c>
      <x:c r="M14" s="20" t="n">
        <x:v>0</x:v>
      </x:c>
      <x:c r="N14" s="18" t="inlineStr">
        <x:is>
          <x:t xml:space="preserve">Chưa bắt đầu</x:t>
        </x:is>
      </x:c>
      <x:c r="O14" s="17" t="inlineStr">
        <x:is>
          <x:t xml:space="preserve">Tuần 7</x:t>
        </x:is>
      </x:c>
      <x:c r="P14" s="17" t="inlineStr">
        <x:is>
          <x:t xml:space="preserve">Cần mapping OCR -&gt; hồ sơ vụ việc</x:t>
        </x:is>
      </x:c>
      <x:c r="Q14" s="17" t="inlineStr">
        <x:is>
          <x:t xml:space="preserve"/>
        </x:is>
      </x:c>
    </x:row>
    <x:row r="15" ht="46" customHeight="1">
      <x:c r="A15" s="13" t="inlineStr">
        <x:is>
          <x:t xml:space="preserve">Tháng 3</x:t>
        </x:is>
      </x:c>
      <x:c r="B15" s="14" t="n">
        <x:v>9</x:v>
      </x:c>
      <x:c r="C15" s="13" t="inlineStr">
        <x:is>
          <x:t xml:space="preserve">Kho tri thức</x:t>
        </x:is>
      </x:c>
      <x:c r="D15" s="13" t="inlineStr">
        <x:is>
          <x:t xml:space="preserve">Chuẩn hóa nguồn tri thức pháp lý</x:t>
        </x:is>
      </x:c>
      <x:c r="E15" s="13" t="inlineStr">
        <x:is>
          <x:t xml:space="preserve">Thu thập nguồn luật chính thống và tài liệu pháp lý nội bộ; thiết kế chunking và tagging theo lĩnh vực luật</x:t>
        </x:is>
      </x:c>
      <x:c r="F15" s="13" t="inlineStr">
        <x:is>
          <x:t xml:space="preserve">AI Engineer</x:t>
        </x:is>
      </x:c>
      <x:c r="G15" s="13" t="inlineStr">
        <x:is>
          <x:t xml:space="preserve">PM/BA</x:t>
        </x:is>
      </x:c>
      <x:c r="H15" s="13" t="inlineStr">
        <x:is>
          <x:t xml:space="preserve">Kho tri thức pháp lý chuẩn hóa</x:t>
        </x:is>
      </x:c>
      <x:c r="I15" s="13" t="inlineStr">
        <x:is>
          <x:t xml:space="preserve">Nguồn dữ liệu được gắn tag đầy đủ</x:t>
        </x:is>
      </x:c>
      <x:c r="J15" s="14" t="inlineStr">
        <x:is>
          <x:t xml:space="preserve">Cao</x:t>
        </x:is>
      </x:c>
      <x:c r="K15" s="15">
        <x:f>$B$3+(B15-1)*7</x:f>
        <x:v>46167</x:v>
      </x:c>
      <x:c r="L15" s="15">
        <x:f>K15+6</x:f>
        <x:v>46173</x:v>
      </x:c>
      <x:c r="M15" s="16" t="n">
        <x:v>0</x:v>
      </x:c>
      <x:c r="N15" s="14" t="inlineStr">
        <x:is>
          <x:t xml:space="preserve">Chưa bắt đầu</x:t>
        </x:is>
      </x:c>
      <x:c r="O15" s="13" t="inlineStr">
        <x:is>
          <x:t xml:space="preserve">Tuần 8</x:t>
        </x:is>
      </x:c>
      <x:c r="P15" s="13" t="inlineStr">
        <x:is>
          <x:t xml:space="preserve">Phải loại bỏ nguồn cũ / không chính thống</x:t>
        </x:is>
      </x:c>
      <x:c r="Q15" s="13" t="inlineStr">
        <x:is>
          <x:t xml:space="preserve"/>
        </x:is>
      </x:c>
    </x:row>
    <x:row r="16" ht="46" customHeight="1">
      <x:c r="A16" s="13" t="inlineStr">
        <x:is>
          <x:t xml:space="preserve">Tháng 3</x:t>
        </x:is>
      </x:c>
      <x:c r="B16" s="14" t="n">
        <x:v>10</x:v>
      </x:c>
      <x:c r="C16" s="13" t="inlineStr">
        <x:is>
          <x:t xml:space="preserve">RAG prototype</x:t>
        </x:is>
      </x:c>
      <x:c r="D16" s="13" t="inlineStr">
        <x:is>
          <x:t xml:space="preserve">Dựng hệ thống truy hồi và chỉ mục</x:t>
        </x:is>
      </x:c>
      <x:c r="E16" s="13" t="inlineStr">
        <x:is>
          <x:t xml:space="preserve">Thiết lập vector database; xây indexing pipeline; kết nối LLM với retriever</x:t>
        </x:is>
      </x:c>
      <x:c r="F16" s="13" t="inlineStr">
        <x:is>
          <x:t xml:space="preserve">AI Engineer</x:t>
        </x:is>
      </x:c>
      <x:c r="G16" s="13" t="inlineStr">
        <x:is>
          <x:t xml:space="preserve">Backend/Integration Engineer</x:t>
        </x:is>
      </x:c>
      <x:c r="H16" s="13" t="inlineStr">
        <x:is>
          <x:t xml:space="preserve">RAG prototype</x:t>
        </x:is>
      </x:c>
      <x:c r="I16" s="13" t="inlineStr">
        <x:is>
          <x:t xml:space="preserve">Có thể truy hồi tài liệu liên quan cho câu hỏi mẫu</x:t>
        </x:is>
      </x:c>
      <x:c r="J16" s="14" t="inlineStr">
        <x:is>
          <x:t xml:space="preserve">Cao</x:t>
        </x:is>
      </x:c>
      <x:c r="K16" s="15">
        <x:f>$B$3+(B16-1)*7</x:f>
        <x:v>46174</x:v>
      </x:c>
      <x:c r="L16" s="15">
        <x:f>K16+6</x:f>
        <x:v>46180</x:v>
      </x:c>
      <x:c r="M16" s="16" t="n">
        <x:v>0</x:v>
      </x:c>
      <x:c r="N16" s="14" t="inlineStr">
        <x:is>
          <x:t xml:space="preserve">Chưa bắt đầu</x:t>
        </x:is>
      </x:c>
      <x:c r="O16" s="13" t="inlineStr">
        <x:is>
          <x:t xml:space="preserve">Tuần 9</x:t>
        </x:is>
      </x:c>
      <x:c r="P16" s="13" t="inlineStr">
        <x:is>
          <x:t xml:space="preserve">Kiểm tra tốc độ index và truy hồi</x:t>
        </x:is>
      </x:c>
      <x:c r="Q16" s="13" t="inlineStr">
        <x:is>
          <x:t xml:space="preserve"/>
        </x:is>
      </x:c>
    </x:row>
    <x:row r="17" ht="46" customHeight="1">
      <x:c r="A17" s="13" t="inlineStr">
        <x:is>
          <x:t xml:space="preserve">Tháng 3</x:t>
        </x:is>
      </x:c>
      <x:c r="B17" s="14" t="n">
        <x:v>11</x:v>
      </x:c>
      <x:c r="C17" s="13" t="inlineStr">
        <x:is>
          <x:t xml:space="preserve">Chatbot pháp lý</x:t>
        </x:is>
      </x:c>
      <x:c r="D17" s="13" t="inlineStr">
        <x:is>
          <x:t xml:space="preserve">Trả lời có dẫn chiếu</x:t>
        </x:is>
      </x:c>
      <x:c r="E17" s="13" t="inlineStr">
        <x:is>
          <x:t xml:space="preserve">Triển khai trả lời kèm dẫn chiếu điều/khoản/văn bản; cấu hình từ chối trả lời khi không đủ dữ liệu</x:t>
        </x:is>
      </x:c>
      <x:c r="F17" s="13" t="inlineStr">
        <x:is>
          <x:t xml:space="preserve">AI Engineer</x:t>
        </x:is>
      </x:c>
      <x:c r="G17" s="13" t="inlineStr">
        <x:is>
          <x:t xml:space="preserve">PM/BA</x:t>
        </x:is>
      </x:c>
      <x:c r="H17" s="13" t="inlineStr">
        <x:is>
          <x:t xml:space="preserve">Chatbot pháp lý nội bộ v1</x:t>
        </x:is>
      </x:c>
      <x:c r="I17" s="13" t="inlineStr">
        <x:is>
          <x:t xml:space="preserve">100% câu trả lời thử nghiệm có nguồn hoặc từ chối đúng</x:t>
        </x:is>
      </x:c>
      <x:c r="J17" s="14" t="inlineStr">
        <x:is>
          <x:t xml:space="preserve">Cao</x:t>
        </x:is>
      </x:c>
      <x:c r="K17" s="15">
        <x:f>$B$3+(B17-1)*7</x:f>
        <x:v>46181</x:v>
      </x:c>
      <x:c r="L17" s="15">
        <x:f>K17+6</x:f>
        <x:v>46187</x:v>
      </x:c>
      <x:c r="M17" s="16" t="n">
        <x:v>0</x:v>
      </x:c>
      <x:c r="N17" s="14" t="inlineStr">
        <x:is>
          <x:t xml:space="preserve">Chưa bắt đầu</x:t>
        </x:is>
      </x:c>
      <x:c r="O17" s="13" t="inlineStr">
        <x:is>
          <x:t xml:space="preserve">Tuần 10</x:t>
        </x:is>
      </x:c>
      <x:c r="P17" s="13" t="inlineStr">
        <x:is>
          <x:t xml:space="preserve">Giảm ảo giác bằng rule kiểm soát nguồn</x:t>
        </x:is>
      </x:c>
      <x:c r="Q17" s="13" t="inlineStr">
        <x:is>
          <x:t xml:space="preserve"/>
        </x:is>
      </x:c>
    </x:row>
    <x:row r="18" ht="46" customHeight="1">
      <x:c r="A18" s="13" t="inlineStr">
        <x:is>
          <x:t xml:space="preserve">Tháng 3</x:t>
        </x:is>
      </x:c>
      <x:c r="B18" s="14" t="n">
        <x:v>12</x:v>
      </x:c>
      <x:c r="C18" s="13" t="inlineStr">
        <x:is>
          <x:t xml:space="preserve">Đánh giá RAG</x:t>
        </x:is>
      </x:c>
      <x:c r="D18" s="13" t="inlineStr">
        <x:is>
          <x:t xml:space="preserve">Hiệu chỉnh chất lượng dùng thử</x:t>
        </x:is>
      </x:c>
      <x:c r="E18" s="13" t="inlineStr">
        <x:is>
          <x:t xml:space="preserve">Đo độ trung thực, độ liên quan, độ đúng ngữ cảnh; tinh chỉnh prompt và retrieval theo lỗi thực tế</x:t>
        </x:is>
      </x:c>
      <x:c r="F18" s="13" t="inlineStr">
        <x:is>
          <x:t xml:space="preserve">AI Engineer</x:t>
        </x:is>
      </x:c>
      <x:c r="G18" s="13" t="inlineStr">
        <x:is>
          <x:t xml:space="preserve">QA/UAT Coordinator</x:t>
        </x:is>
      </x:c>
      <x:c r="H18" s="13" t="inlineStr">
        <x:is>
          <x:t xml:space="preserve">RAG v1 đạt chuẩn dùng thử</x:t>
        </x:is>
      </x:c>
      <x:c r="I18" s="13" t="inlineStr">
        <x:is>
          <x:t xml:space="preserve">Bộ test nội bộ đạt ngưỡng chất lượng chấp nhận</x:t>
        </x:is>
      </x:c>
      <x:c r="J18" s="14" t="inlineStr">
        <x:is>
          <x:t xml:space="preserve">Cao</x:t>
        </x:is>
      </x:c>
      <x:c r="K18" s="15">
        <x:f>$B$3+(B18-1)*7</x:f>
        <x:v>46188</x:v>
      </x:c>
      <x:c r="L18" s="15">
        <x:f>K18+6</x:f>
        <x:v>46194</x:v>
      </x:c>
      <x:c r="M18" s="16" t="n">
        <x:v>0</x:v>
      </x:c>
      <x:c r="N18" s="14" t="inlineStr">
        <x:is>
          <x:t xml:space="preserve">Chưa bắt đầu</x:t>
        </x:is>
      </x:c>
      <x:c r="O18" s="13" t="inlineStr">
        <x:is>
          <x:t xml:space="preserve">Tuần 11</x:t>
        </x:is>
      </x:c>
      <x:c r="P18" s="13" t="inlineStr">
        <x:is>
          <x:t xml:space="preserve">Cần log lỗi để tối ưu theo vòng</x:t>
        </x:is>
      </x:c>
      <x:c r="Q18" s="13" t="inlineStr">
        <x:is>
          <x:t xml:space="preserve"/>
        </x:is>
      </x:c>
    </x:row>
    <x:row r="19" ht="46" customHeight="1">
      <x:c r="A19" s="17" t="inlineStr">
        <x:is>
          <x:t xml:space="preserve">Tháng 4</x:t>
        </x:is>
      </x:c>
      <x:c r="B19" s="18" t="n">
        <x:v>13</x:v>
      </x:c>
      <x:c r="C19" s="17" t="inlineStr">
        <x:is>
          <x:t xml:space="preserve">Workflow vụ việc</x:t>
        </x:is>
      </x:c>
      <x:c r="D19" s="17" t="inlineStr">
        <x:is>
          <x:t xml:space="preserve">Chuẩn hóa luồng nghiệp vụ</x:t>
        </x:is>
      </x:c>
      <x:c r="E19" s="17" t="inlineStr">
        <x:is>
          <x:t xml:space="preserve">Thiết kế luồng mở vụ, phân công, cập nhật trạng thái, đóng vụ</x:t>
        </x:is>
      </x:c>
      <x:c r="F19" s="17" t="inlineStr">
        <x:is>
          <x:t xml:space="preserve">PM/BA</x:t>
        </x:is>
      </x:c>
      <x:c r="G19" s="17" t="inlineStr">
        <x:is>
          <x:t xml:space="preserve">Backend/Integration Engineer</x:t>
        </x:is>
      </x:c>
      <x:c r="H19" s="17" t="inlineStr">
        <x:is>
          <x:t xml:space="preserve">Workflow nghiệp vụ chuẩn</x:t>
        </x:is>
      </x:c>
      <x:c r="I19" s="17" t="inlineStr">
        <x:is>
          <x:t xml:space="preserve">Luồng được stakeholder duyệt</x:t>
        </x:is>
      </x:c>
      <x:c r="J19" s="18" t="inlineStr">
        <x:is>
          <x:t xml:space="preserve">Trung bình</x:t>
        </x:is>
      </x:c>
      <x:c r="K19" s="19">
        <x:f>$B$3+(B19-1)*7</x:f>
        <x:v>46195</x:v>
      </x:c>
      <x:c r="L19" s="19">
        <x:f>K19+6</x:f>
        <x:v>46201</x:v>
      </x:c>
      <x:c r="M19" s="20" t="n">
        <x:v>0</x:v>
      </x:c>
      <x:c r="N19" s="18" t="inlineStr">
        <x:is>
          <x:t xml:space="preserve">Chưa bắt đầu</x:t>
        </x:is>
      </x:c>
      <x:c r="O19" s="17" t="inlineStr">
        <x:is>
          <x:t xml:space="preserve">Tuần 12</x:t>
        </x:is>
      </x:c>
      <x:c r="P19" s="17" t="inlineStr">
        <x:is>
          <x:t xml:space="preserve">Phải khớp quy trình thực tế từng nhóm</x:t>
        </x:is>
      </x:c>
      <x:c r="Q19" s="17" t="inlineStr">
        <x:is>
          <x:t xml:space="preserve"/>
        </x:is>
      </x:c>
    </x:row>
    <x:row r="20" ht="46" customHeight="1">
      <x:c r="A20" s="17" t="inlineStr">
        <x:is>
          <x:t xml:space="preserve">Tháng 4</x:t>
        </x:is>
      </x:c>
      <x:c r="B20" s="18" t="n">
        <x:v>14</x:v>
      </x:c>
      <x:c r="C20" s="17" t="inlineStr">
        <x:is>
          <x:t xml:space="preserve">Nhắc việc</x:t>
        </x:is>
      </x:c>
      <x:c r="D20" s="17" t="inlineStr">
        <x:is>
          <x:t xml:space="preserve">Có cảnh báo quá hạn tự động</x:t>
        </x:is>
      </x:c>
      <x:c r="E20" s="17" t="inlineStr">
        <x:is>
          <x:t xml:space="preserve">Xây module deadline; gửi nhắc việc qua Telegram/Zalo/Email</x:t>
        </x:is>
      </x:c>
      <x:c r="F20" s="17" t="inlineStr">
        <x:is>
          <x:t xml:space="preserve">Backend/Integration Engineer</x:t>
        </x:is>
      </x:c>
      <x:c r="G20" s="17" t="inlineStr">
        <x:is>
          <x:t xml:space="preserve">PM/BA, IT Admin</x:t>
        </x:is>
      </x:c>
      <x:c r="H20" s="17" t="inlineStr">
        <x:is>
          <x:t xml:space="preserve">Cảnh báo quá hạn vận hành thực tế</x:t>
        </x:is>
      </x:c>
      <x:c r="I20" s="17" t="inlineStr">
        <x:is>
          <x:t xml:space="preserve">Thông báo test gửi thành công đúng hạn</x:t>
        </x:is>
      </x:c>
      <x:c r="J20" s="18" t="inlineStr">
        <x:is>
          <x:t xml:space="preserve">Cao</x:t>
        </x:is>
      </x:c>
      <x:c r="K20" s="19">
        <x:f>$B$3+(B20-1)*7</x:f>
        <x:v>46202</x:v>
      </x:c>
      <x:c r="L20" s="19">
        <x:f>K20+6</x:f>
        <x:v>46208</x:v>
      </x:c>
      <x:c r="M20" s="20" t="n">
        <x:v>0</x:v>
      </x:c>
      <x:c r="N20" s="18" t="inlineStr">
        <x:is>
          <x:t xml:space="preserve">Chưa bắt đầu</x:t>
        </x:is>
      </x:c>
      <x:c r="O20" s="17" t="inlineStr">
        <x:is>
          <x:t xml:space="preserve">Tuần 13</x:t>
        </x:is>
      </x:c>
      <x:c r="P20" s="17" t="inlineStr">
        <x:is>
          <x:t xml:space="preserve">Phụ thuộc kênh tích hợp của khách hàng</x:t>
        </x:is>
      </x:c>
      <x:c r="Q20" s="17" t="inlineStr">
        <x:is>
          <x:t xml:space="preserve"/>
        </x:is>
      </x:c>
    </x:row>
    <x:row r="21" ht="46" customHeight="1">
      <x:c r="A21" s="17" t="inlineStr">
        <x:is>
          <x:t xml:space="preserve">Tháng 4</x:t>
        </x:is>
      </x:c>
      <x:c r="B21" s="18" t="n">
        <x:v>15</x:v>
      </x:c>
      <x:c r="C21" s="17" t="inlineStr">
        <x:is>
          <x:t xml:space="preserve">Lịch pháp lý</x:t>
        </x:is>
      </x:c>
      <x:c r="D21" s="17" t="inlineStr">
        <x:is>
          <x:t xml:space="preserve">Đồng bộ lịch xét xử và phiên làm việc</x:t>
        </x:is>
      </x:c>
      <x:c r="E21" s="17" t="inlineStr">
        <x:is>
          <x:t xml:space="preserve">Tích hợp quản lý lịch xét xử, phiên làm việc và lịch nhắc chuẩn</x:t>
        </x:is>
      </x:c>
      <x:c r="F21" s="17" t="inlineStr">
        <x:is>
          <x:t xml:space="preserve">Backend/Integration Engineer</x:t>
        </x:is>
      </x:c>
      <x:c r="G21" s="17" t="inlineStr">
        <x:is>
          <x:t xml:space="preserve">PM/BA</x:t>
        </x:is>
      </x:c>
      <x:c r="H21" s="17" t="inlineStr">
        <x:is>
          <x:t xml:space="preserve">Lịch pháp lý đồng bộ</x:t>
        </x:is>
      </x:c>
      <x:c r="I21" s="17" t="inlineStr">
        <x:is>
          <x:t xml:space="preserve">Tạo/sửa/xem lịch hoạt động</x:t>
        </x:is>
      </x:c>
      <x:c r="J21" s="18" t="inlineStr">
        <x:is>
          <x:t xml:space="preserve">Trung bình</x:t>
        </x:is>
      </x:c>
      <x:c r="K21" s="19">
        <x:f>$B$3+(B21-1)*7</x:f>
        <x:v>46209</x:v>
      </x:c>
      <x:c r="L21" s="19">
        <x:f>K21+6</x:f>
        <x:v>46215</x:v>
      </x:c>
      <x:c r="M21" s="20" t="n">
        <x:v>0</x:v>
      </x:c>
      <x:c r="N21" s="18" t="inlineStr">
        <x:is>
          <x:t xml:space="preserve">Chưa bắt đầu</x:t>
        </x:is>
      </x:c>
      <x:c r="O21" s="17" t="inlineStr">
        <x:is>
          <x:t xml:space="preserve">Tuần 14</x:t>
        </x:is>
      </x:c>
      <x:c r="P21" s="17" t="inlineStr">
        <x:is>
          <x:t xml:space="preserve">Cần quy ước tên lịch và vai trò</x:t>
        </x:is>
      </x:c>
      <x:c r="Q21" s="17" t="inlineStr">
        <x:is>
          <x:t xml:space="preserve"/>
        </x:is>
      </x:c>
    </x:row>
    <x:row r="22" ht="46" customHeight="1">
      <x:c r="A22" s="17" t="inlineStr">
        <x:is>
          <x:t xml:space="preserve">Tháng 4</x:t>
        </x:is>
      </x:c>
      <x:c r="B22" s="18" t="n">
        <x:v>16</x:v>
      </x:c>
      <x:c r="C22" s="17" t="inlineStr">
        <x:is>
          <x:t xml:space="preserve">Dashboard</x:t>
        </x:is>
      </x:c>
      <x:c r="D22" s="17" t="inlineStr">
        <x:is>
          <x:t xml:space="preserve">Minh bạch khối lượng và deadline</x:t>
        </x:is>
      </x:c>
      <x:c r="E22" s="17" t="inlineStr">
        <x:is>
          <x:t xml:space="preserve">Thiết lập dashboard nội bộ: việc đến hạn, việc trễ, khối lượng theo luật sư</x:t>
        </x:is>
      </x:c>
      <x:c r="F22" s="17" t="inlineStr">
        <x:is>
          <x:t xml:space="preserve">Backend/Integration Engineer</x:t>
        </x:is>
      </x:c>
      <x:c r="G22" s="17" t="inlineStr">
        <x:is>
          <x:t xml:space="preserve">PM/BA</x:t>
        </x:is>
      </x:c>
      <x:c r="H22" s="17" t="inlineStr">
        <x:is>
          <x:t xml:space="preserve">Dashboard quản trị v1</x:t>
        </x:is>
      </x:c>
      <x:c r="I22" s="17" t="inlineStr">
        <x:is>
          <x:t xml:space="preserve">Dashboard hiển thị đúng các chỉ số chính</x:t>
        </x:is>
      </x:c>
      <x:c r="J22" s="18" t="inlineStr">
        <x:is>
          <x:t xml:space="preserve">Trung bình</x:t>
        </x:is>
      </x:c>
      <x:c r="K22" s="19">
        <x:f>$B$3+(B22-1)*7</x:f>
        <x:v>46216</x:v>
      </x:c>
      <x:c r="L22" s="19">
        <x:f>K22+6</x:f>
        <x:v>46222</x:v>
      </x:c>
      <x:c r="M22" s="20" t="n">
        <x:v>0</x:v>
      </x:c>
      <x:c r="N22" s="18" t="inlineStr">
        <x:is>
          <x:t xml:space="preserve">Chưa bắt đầu</x:t>
        </x:is>
      </x:c>
      <x:c r="O22" s="17" t="inlineStr">
        <x:is>
          <x:t xml:space="preserve">Tuần 15</x:t>
        </x:is>
      </x:c>
      <x:c r="P22" s="17" t="inlineStr">
        <x:is>
          <x:t xml:space="preserve">Cần chuẩn dữ liệu trạng thái để dashboard đúng</x:t>
        </x:is>
      </x:c>
      <x:c r="Q22" s="17" t="inlineStr">
        <x:is>
          <x:t xml:space="preserve"/>
        </x:is>
      </x:c>
    </x:row>
    <x:row r="23" ht="46" customHeight="1">
      <x:c r="A23" s="13" t="inlineStr">
        <x:is>
          <x:t xml:space="preserve">Tháng 5</x:t>
        </x:is>
      </x:c>
      <x:c r="B23" s="14" t="n">
        <x:v>17</x:v>
      </x:c>
      <x:c r="C23" s="13" t="inlineStr">
        <x:is>
          <x:t xml:space="preserve">Ký số</x:t>
        </x:is>
      </x:c>
      <x:c r="D23" s="13" t="inlineStr">
        <x:is>
          <x:t xml:space="preserve">Thử nghiệm luồng ký số</x:t>
        </x:is>
      </x:c>
      <x:c r="E23" s="13" t="inlineStr">
        <x:is>
          <x:t xml:space="preserve">Tích hợp ký số MISA eSign / VNPT-CA / USB Token tùy hạ tầng</x:t>
        </x:is>
      </x:c>
      <x:c r="F23" s="13" t="inlineStr">
        <x:is>
          <x:t xml:space="preserve">Backend/Integration Engineer</x:t>
        </x:is>
      </x:c>
      <x:c r="G23" s="13" t="inlineStr">
        <x:is>
          <x:t xml:space="preserve">IT Admin</x:t>
        </x:is>
      </x:c>
      <x:c r="H23" s="13" t="inlineStr">
        <x:is>
          <x:t xml:space="preserve">Luồng ký số thử nghiệm</x:t>
        </x:is>
      </x:c>
      <x:c r="I23" s="13" t="inlineStr">
        <x:is>
          <x:t xml:space="preserve">Ký thử tài liệu thành công</x:t>
        </x:is>
      </x:c>
      <x:c r="J23" s="14" t="inlineStr">
        <x:is>
          <x:t xml:space="preserve">Trung bình</x:t>
        </x:is>
      </x:c>
      <x:c r="K23" s="15">
        <x:f>$B$3+(B23-1)*7</x:f>
        <x:v>46223</x:v>
      </x:c>
      <x:c r="L23" s="15">
        <x:f>K23+6</x:f>
        <x:v>46229</x:v>
      </x:c>
      <x:c r="M23" s="16" t="n">
        <x:v>0</x:v>
      </x:c>
      <x:c r="N23" s="14" t="inlineStr">
        <x:is>
          <x:t xml:space="preserve">Chưa bắt đầu</x:t>
        </x:is>
      </x:c>
      <x:c r="O23" s="13" t="inlineStr">
        <x:is>
          <x:t xml:space="preserve">Tuần 16</x:t>
        </x:is>
      </x:c>
      <x:c r="P23" s="13" t="inlineStr">
        <x:is>
          <x:t xml:space="preserve">Phụ thuộc nhà cung cấp CA / API</x:t>
        </x:is>
      </x:c>
      <x:c r="Q23" s="13" t="inlineStr">
        <x:is>
          <x:t xml:space="preserve"/>
        </x:is>
      </x:c>
    </x:row>
    <x:row r="24" ht="46" customHeight="1">
      <x:c r="A24" s="13" t="inlineStr">
        <x:is>
          <x:t xml:space="preserve">Tháng 5</x:t>
        </x:is>
      </x:c>
      <x:c r="B24" s="14" t="n">
        <x:v>18</x:v>
      </x:c>
      <x:c r="C24" s="13" t="inlineStr">
        <x:is>
          <x:t xml:space="preserve">Thanh toán</x:t>
        </x:is>
      </x:c>
      <x:c r="D24" s="13" t="inlineStr">
        <x:is>
          <x:t xml:space="preserve">Đối soát được hóa đơn vụ việc</x:t>
        </x:is>
      </x:c>
      <x:c r="E24" s="13" t="inlineStr">
        <x:is>
          <x:t xml:space="preserve">Tích hợp thanh toán QR theo hóa đơn vụ việc nếu nằm trong phạm vi</x:t>
        </x:is>
      </x:c>
      <x:c r="F24" s="13" t="inlineStr">
        <x:is>
          <x:t xml:space="preserve">Backend/Integration Engineer</x:t>
        </x:is>
      </x:c>
      <x:c r="G24" s="13" t="inlineStr">
        <x:is>
          <x:t xml:space="preserve">PM/BA</x:t>
        </x:is>
      </x:c>
      <x:c r="H24" s="13" t="inlineStr">
        <x:is>
          <x:t xml:space="preserve">Thanh toán minh bạch, đối soát được</x:t>
        </x:is>
      </x:c>
      <x:c r="I24" s="13" t="inlineStr">
        <x:is>
          <x:t xml:space="preserve">Tạo QR và ghi nhận trạng thái thanh toán</x:t>
        </x:is>
      </x:c>
      <x:c r="J24" s="14" t="inlineStr">
        <x:is>
          <x:t xml:space="preserve">Thấp</x:t>
        </x:is>
      </x:c>
      <x:c r="K24" s="15">
        <x:f>$B$3+(B24-1)*7</x:f>
        <x:v>46230</x:v>
      </x:c>
      <x:c r="L24" s="15">
        <x:f>K24+6</x:f>
        <x:v>46236</x:v>
      </x:c>
      <x:c r="M24" s="16" t="n">
        <x:v>0</x:v>
      </x:c>
      <x:c r="N24" s="14" t="inlineStr">
        <x:is>
          <x:t xml:space="preserve">Chưa bắt đầu</x:t>
        </x:is>
      </x:c>
      <x:c r="O24" s="13" t="inlineStr">
        <x:is>
          <x:t xml:space="preserve">Tuần 17</x:t>
        </x:is>
      </x:c>
      <x:c r="P24" s="13" t="inlineStr">
        <x:is>
          <x:t xml:space="preserve">Có thể để phase sau nếu chưa cần</x:t>
        </x:is>
      </x:c>
      <x:c r="Q24" s="13" t="inlineStr">
        <x:is>
          <x:t xml:space="preserve"/>
        </x:is>
      </x:c>
    </x:row>
    <x:row r="25" ht="46" customHeight="1">
      <x:c r="A25" s="13" t="inlineStr">
        <x:is>
          <x:t xml:space="preserve">Tháng 5</x:t>
        </x:is>
      </x:c>
      <x:c r="B25" s="14" t="n">
        <x:v>19</x:v>
      </x:c>
      <x:c r="C25" s="13" t="inlineStr">
        <x:is>
          <x:t xml:space="preserve">Biểu mẫu</x:t>
        </x:is>
      </x:c>
      <x:c r="D25" s="13" t="inlineStr">
        <x:is>
          <x:t xml:space="preserve">Có bộ mẫu tự động điền</x:t>
        </x:is>
      </x:c>
      <x:c r="E25" s="13" t="inlineStr">
        <x:is>
          <x:t xml:space="preserve">Dựng template văn bản pháp lý chuẩn bằng docxtpl: đơn khởi kiện, bản khai, báo cáo</x:t>
        </x:is>
      </x:c>
      <x:c r="F25" s="13" t="inlineStr">
        <x:is>
          <x:t xml:space="preserve">Backend/Integration Engineer</x:t>
        </x:is>
      </x:c>
      <x:c r="G25" s="13" t="inlineStr">
        <x:is>
          <x:t xml:space="preserve">PM/BA</x:t>
        </x:is>
      </x:c>
      <x:c r="H25" s="13" t="inlineStr">
        <x:is>
          <x:t xml:space="preserve">Bộ mẫu tự động điền v1</x:t>
        </x:is>
      </x:c>
      <x:c r="I25" s="13" t="inlineStr">
        <x:is>
          <x:t xml:space="preserve">Sinh ít nhất 3 mẫu từ dữ liệu thật</x:t>
        </x:is>
      </x:c>
      <x:c r="J25" s="14" t="inlineStr">
        <x:is>
          <x:t xml:space="preserve">Cao</x:t>
        </x:is>
      </x:c>
      <x:c r="K25" s="15">
        <x:f>$B$3+(B25-1)*7</x:f>
        <x:v>46237</x:v>
      </x:c>
      <x:c r="L25" s="15">
        <x:f>K25+6</x:f>
        <x:v>46243</x:v>
      </x:c>
      <x:c r="M25" s="16" t="n">
        <x:v>0</x:v>
      </x:c>
      <x:c r="N25" s="14" t="inlineStr">
        <x:is>
          <x:t xml:space="preserve">Chưa bắt đầu</x:t>
        </x:is>
      </x:c>
      <x:c r="O25" s="13" t="inlineStr">
        <x:is>
          <x:t xml:space="preserve">Tuần 18</x:t>
        </x:is>
      </x:c>
      <x:c r="P25" s="13" t="inlineStr">
        <x:is>
          <x:t xml:space="preserve">Cần review ngôn ngữ pháp lý trước khi dùng</x:t>
        </x:is>
      </x:c>
      <x:c r="Q25" s="13" t="inlineStr">
        <x:is>
          <x:t xml:space="preserve"/>
        </x:is>
      </x:c>
    </x:row>
    <x:row r="26" ht="46" customHeight="1">
      <x:c r="A26" s="13" t="inlineStr">
        <x:is>
          <x:t xml:space="preserve">Tháng 5</x:t>
        </x:is>
      </x:c>
      <x:c r="B26" s="14" t="n">
        <x:v>20</x:v>
      </x:c>
      <x:c r="C26" s="13" t="inlineStr">
        <x:is>
          <x:t xml:space="preserve">Xuất văn bản</x:t>
        </x:is>
      </x:c>
      <x:c r="D26" s="13" t="inlineStr">
        <x:is>
          <x:t xml:space="preserve">Giảm thao tác đánh máy thủ công</x:t>
        </x:is>
      </x:c>
      <x:c r="E26" s="13" t="inlineStr">
        <x:is>
          <x:t xml:space="preserve">Tự động xuất Word/PDF từ dữ liệu vụ việc</x:t>
        </x:is>
      </x:c>
      <x:c r="F26" s="13" t="inlineStr">
        <x:is>
          <x:t xml:space="preserve">Backend/Integration Engineer</x:t>
        </x:is>
      </x:c>
      <x:c r="G26" s="13" t="inlineStr">
        <x:is>
          <x:t xml:space="preserve">QA/UAT Coordinator</x:t>
        </x:is>
      </x:c>
      <x:c r="H26" s="13" t="inlineStr">
        <x:is>
          <x:t xml:space="preserve">Tự động xuất Word/PDF</x:t>
        </x:is>
      </x:c>
      <x:c r="I26" s="13" t="inlineStr">
        <x:is>
          <x:t xml:space="preserve">Xuất file không lỗi định dạng trên mẫu chuẩn</x:t>
        </x:is>
      </x:c>
      <x:c r="J26" s="14" t="inlineStr">
        <x:is>
          <x:t xml:space="preserve">Cao</x:t>
        </x:is>
      </x:c>
      <x:c r="K26" s="15">
        <x:f>$B$3+(B26-1)*7</x:f>
        <x:v>46244</x:v>
      </x:c>
      <x:c r="L26" s="15">
        <x:f>K26+6</x:f>
        <x:v>46250</x:v>
      </x:c>
      <x:c r="M26" s="16" t="n">
        <x:v>0</x:v>
      </x:c>
      <x:c r="N26" s="14" t="inlineStr">
        <x:is>
          <x:t xml:space="preserve">Chưa bắt đầu</x:t>
        </x:is>
      </x:c>
      <x:c r="O26" s="13" t="inlineStr">
        <x:is>
          <x:t xml:space="preserve">Tuần 19</x:t>
        </x:is>
      </x:c>
      <x:c r="P26" s="13" t="inlineStr">
        <x:is>
          <x:t xml:space="preserve">Nên kiểm tra font tiếng Việt và layout</x:t>
        </x:is>
      </x:c>
      <x:c r="Q26" s="13" t="inlineStr">
        <x:is>
          <x:t xml:space="preserve"/>
        </x:is>
      </x:c>
    </x:row>
    <x:row r="27" ht="46" customHeight="1">
      <x:c r="A27" s="17" t="inlineStr">
        <x:is>
          <x:t xml:space="preserve">Tháng 6</x:t>
        </x:is>
      </x:c>
      <x:c r="B27" s="18" t="n">
        <x:v>21</x:v>
      </x:c>
      <x:c r="C27" s="17" t="inlineStr">
        <x:is>
          <x:t xml:space="preserve">UAT</x:t>
        </x:is>
      </x:c>
      <x:c r="D27" s="17" t="inlineStr">
        <x:is>
          <x:t xml:space="preserve">Kiểm thử theo kịch bản thực tế</x:t>
        </x:is>
      </x:c>
      <x:c r="E27" s="17" t="inlineStr">
        <x:is>
          <x:t xml:space="preserve">Thực hiện UAT theo phòng ban; ghi nhận lỗi; phân loại P1/P2</x:t>
        </x:is>
      </x:c>
      <x:c r="F27" s="17" t="inlineStr">
        <x:is>
          <x:t xml:space="preserve">QA/UAT Coordinator</x:t>
        </x:is>
      </x:c>
      <x:c r="G27" s="17" t="inlineStr">
        <x:is>
          <x:t xml:space="preserve">PM/BA, toàn bộ nhóm</x:t>
        </x:is>
      </x:c>
      <x:c r="H27" s="17" t="inlineStr">
        <x:is>
          <x:t xml:space="preserve">Danh sách lỗi + kế hoạch fix</x:t>
        </x:is>
      </x:c>
      <x:c r="I27" s="17" t="inlineStr">
        <x:is>
          <x:t xml:space="preserve">Có checklist UAT và log lỗi ưu tiên</x:t>
        </x:is>
      </x:c>
      <x:c r="J27" s="18" t="inlineStr">
        <x:is>
          <x:t xml:space="preserve">Cao</x:t>
        </x:is>
      </x:c>
      <x:c r="K27" s="19">
        <x:f>$B$3+(B27-1)*7</x:f>
        <x:v>46251</x:v>
      </x:c>
      <x:c r="L27" s="19">
        <x:f>K27+6</x:f>
        <x:v>46257</x:v>
      </x:c>
      <x:c r="M27" s="20" t="n">
        <x:v>0</x:v>
      </x:c>
      <x:c r="N27" s="18" t="inlineStr">
        <x:is>
          <x:t xml:space="preserve">Chưa bắt đầu</x:t>
        </x:is>
      </x:c>
      <x:c r="O27" s="17" t="inlineStr">
        <x:is>
          <x:t xml:space="preserve">Tuần 20</x:t>
        </x:is>
      </x:c>
      <x:c r="P27" s="17" t="inlineStr">
        <x:is>
          <x:t xml:space="preserve">Cần lịch test với người dùng thực tế</x:t>
        </x:is>
      </x:c>
      <x:c r="Q27" s="17" t="inlineStr">
        <x:is>
          <x:t xml:space="preserve"/>
        </x:is>
      </x:c>
    </x:row>
    <x:row r="28" ht="46" customHeight="1">
      <x:c r="A28" s="17" t="inlineStr">
        <x:is>
          <x:t xml:space="preserve">Tháng 6</x:t>
        </x:is>
      </x:c>
      <x:c r="B28" s="18" t="n">
        <x:v>22</x:v>
      </x:c>
      <x:c r="C28" s="17" t="inlineStr">
        <x:is>
          <x:t xml:space="preserve">Hardening</x:t>
        </x:is>
      </x:c>
      <x:c r="D28" s="17" t="inlineStr">
        <x:is>
          <x:t xml:space="preserve">Ra release candidate</x:t>
        </x:is>
      </x:c>
      <x:c r="E28" s="17" t="inlineStr">
        <x:is>
          <x:t xml:space="preserve">Sửa lỗi trọng yếu; tối ưu hiệu năng và bảo mật</x:t>
        </x:is>
      </x:c>
      <x:c r="F28" s="17" t="inlineStr">
        <x:is>
          <x:t xml:space="preserve">Backend/Integration Engineer</x:t>
        </x:is>
      </x:c>
      <x:c r="G28" s="17" t="inlineStr">
        <x:is>
          <x:t xml:space="preserve">AI Engineer, IT Admin, QA/UAT Coordinator</x:t>
        </x:is>
      </x:c>
      <x:c r="H28" s="17" t="inlineStr">
        <x:is>
          <x:t xml:space="preserve">Release candidate</x:t>
        </x:is>
      </x:c>
      <x:c r="I28" s="17" t="inlineStr">
        <x:is>
          <x:t xml:space="preserve">Không còn lỗi P1 mở; hiệu năng chấp nhận</x:t>
        </x:is>
      </x:c>
      <x:c r="J28" s="18" t="inlineStr">
        <x:is>
          <x:t xml:space="preserve">Cao</x:t>
        </x:is>
      </x:c>
      <x:c r="K28" s="19">
        <x:f>$B$3+(B28-1)*7</x:f>
        <x:v>46258</x:v>
      </x:c>
      <x:c r="L28" s="19">
        <x:f>K28+6</x:f>
        <x:v>46264</x:v>
      </x:c>
      <x:c r="M28" s="20" t="n">
        <x:v>0</x:v>
      </x:c>
      <x:c r="N28" s="18" t="inlineStr">
        <x:is>
          <x:t xml:space="preserve">Chưa bắt đầu</x:t>
        </x:is>
      </x:c>
      <x:c r="O28" s="17" t="inlineStr">
        <x:is>
          <x:t xml:space="preserve">Tuần 21</x:t>
        </x:is>
      </x:c>
      <x:c r="P28" s="17" t="inlineStr">
        <x:is>
          <x:t xml:space="preserve">Nên kiểm thử hồi quy sau fix</x:t>
        </x:is>
      </x:c>
      <x:c r="Q28" s="17" t="inlineStr">
        <x:is>
          <x:t xml:space="preserve"/>
        </x:is>
      </x:c>
    </x:row>
    <x:row r="29" ht="46" customHeight="1">
      <x:c r="A29" s="17" t="inlineStr">
        <x:is>
          <x:t xml:space="preserve">Tháng 6</x:t>
        </x:is>
      </x:c>
      <x:c r="B29" s="18" t="n">
        <x:v>23</x:v>
      </x:c>
      <x:c r="C29" s="17" t="inlineStr">
        <x:is>
          <x:t xml:space="preserve">Đào tạo &amp; SOP</x:t>
        </x:is>
      </x:c>
      <x:c r="D29" s="17" t="inlineStr">
        <x:is>
          <x:t xml:space="preserve">Người dùng sẵn sàng vận hành</x:t>
        </x:is>
      </x:c>
      <x:c r="E29" s="17" t="inlineStr">
        <x:is>
          <x:t xml:space="preserve">Đào tạo theo vai trò: luật sư, trợ lý, quản trị; bàn giao tài liệu vận hành; quy trình nạp hồ sơ mới</x:t>
        </x:is>
      </x:c>
      <x:c r="F29" s="17" t="inlineStr">
        <x:is>
          <x:t xml:space="preserve">PM/BA</x:t>
        </x:is>
      </x:c>
      <x:c r="G29" s="17" t="inlineStr">
        <x:is>
          <x:t xml:space="preserve">QA/UAT Coordinator</x:t>
        </x:is>
      </x:c>
      <x:c r="H29" s="17" t="inlineStr">
        <x:is>
          <x:t xml:space="preserve">Bộ SOP chính thức</x:t>
        </x:is>
      </x:c>
      <x:c r="I29" s="17" t="inlineStr">
        <x:is>
          <x:t xml:space="preserve">100% nhóm trọng yếu được đào tạo</x:t>
        </x:is>
      </x:c>
      <x:c r="J29" s="18" t="inlineStr">
        <x:is>
          <x:t xml:space="preserve">Cao</x:t>
        </x:is>
      </x:c>
      <x:c r="K29" s="19">
        <x:f>$B$3+(B29-1)*7</x:f>
        <x:v>46265</x:v>
      </x:c>
      <x:c r="L29" s="19">
        <x:f>K29+6</x:f>
        <x:v>46271</x:v>
      </x:c>
      <x:c r="M29" s="20" t="n">
        <x:v>0</x:v>
      </x:c>
      <x:c r="N29" s="18" t="inlineStr">
        <x:is>
          <x:t xml:space="preserve">Chưa bắt đầu</x:t>
        </x:is>
      </x:c>
      <x:c r="O29" s="17" t="inlineStr">
        <x:is>
          <x:t xml:space="preserve">Tuần 22</x:t>
        </x:is>
      </x:c>
      <x:c r="P29" s="17" t="inlineStr">
        <x:is>
          <x:t xml:space="preserve">Nên có video / tài liệu hướng dẫn ngắn</x:t>
        </x:is>
      </x:c>
      <x:c r="Q29" s="17" t="inlineStr">
        <x:is>
          <x:t xml:space="preserve"/>
        </x:is>
      </x:c>
    </x:row>
    <x:row r="30" ht="46" customHeight="1">
      <x:c r="A30" s="17" t="inlineStr">
        <x:is>
          <x:t xml:space="preserve">Tháng 6</x:t>
        </x:is>
      </x:c>
      <x:c r="B30" s="18" t="n">
        <x:v>24</x:v>
      </x:c>
      <x:c r="C30" s="17" t="inlineStr">
        <x:is>
          <x:t xml:space="preserve">Go-live</x:t>
        </x:is>
      </x:c>
      <x:c r="D30" s="17" t="inlineStr">
        <x:is>
          <x:t xml:space="preserve">Vận hành chính thức giai đoạn 1</x:t>
        </x:is>
      </x:c>
      <x:c r="E30" s="17" t="inlineStr">
        <x:is>
          <x:t xml:space="preserve">Go-live chính thức; theo dõi sát 2 tuần đầu; ký SLA bảo hành/bảo trì; quy trình yêu cầu thay đổi</x:t>
        </x:is>
      </x:c>
      <x:c r="F30" s="17" t="inlineStr">
        <x:is>
          <x:t xml:space="preserve">PM/BA</x:t>
        </x:is>
      </x:c>
      <x:c r="G30" s="17" t="inlineStr">
        <x:is>
          <x:t xml:space="preserve">IT Admin, Backend/Integration Engineer, QA/UAT Coordinator</x:t>
        </x:is>
      </x:c>
      <x:c r="H30" s="17" t="inlineStr">
        <x:is>
          <x:t xml:space="preserve">Nghiệm thu giai đoạn 1</x:t>
        </x:is>
      </x:c>
      <x:c r="I30" s="17" t="inlineStr">
        <x:is>
          <x:t xml:space="preserve">Go-live ổn định; SLA được chốt</x:t>
        </x:is>
      </x:c>
      <x:c r="J30" s="18" t="inlineStr">
        <x:is>
          <x:t xml:space="preserve">Cao</x:t>
        </x:is>
      </x:c>
      <x:c r="K30" s="19">
        <x:f>$B$3+(B30-1)*7</x:f>
        <x:v>46272</x:v>
      </x:c>
      <x:c r="L30" s="19">
        <x:f>K30+6</x:f>
        <x:v>46278</x:v>
      </x:c>
      <x:c r="M30" s="20" t="n">
        <x:v>0</x:v>
      </x:c>
      <x:c r="N30" s="18" t="inlineStr">
        <x:is>
          <x:t xml:space="preserve">Chưa bắt đầu</x:t>
        </x:is>
      </x:c>
      <x:c r="O30" s="17" t="inlineStr">
        <x:is>
          <x:t xml:space="preserve">Tuần 23</x:t>
        </x:is>
      </x:c>
      <x:c r="P30" s="17" t="inlineStr">
        <x:is>
          <x:t xml:space="preserve">Cần đầu mối hỗ trợ rõ ràng sau triển khai</x:t>
        </x:is>
      </x:c>
      <x:c r="Q30" s="17" t="inlineStr">
        <x:is>
          <x:t xml:space="preserve"/>
        </x:is>
      </x:c>
    </x:row>
  </x:sheetData>
  <x:mergeCells>
    <x:mergeCell ref="A1:Q1"/>
  </x:mergeCells>
  <x:conditionalFormatting sqref="M7:M30">
    <x:cfRule type="colorScale" priority="1">
      <x:colorScale>
        <x:cfvo type="num" val="0"/>
        <x:cfvo type="num" val="50"/>
        <x:cfvo type="num" val="100"/>
        <x:color rgb="00F8696B"/>
        <x:color rgb="00FFEB84"/>
        <x:color rgb="0063BE7B"/>
      </x:colorScale>
    </x:cfRule>
  </x:conditionalFormatting>
  <x:conditionalFormatting sqref="N7:N30">
    <x:cfRule type="expression" dxfId="0" priority="2">
      <x:formula>N7="Hoàn thành"</x:formula>
    </x:cfRule>
    <x:cfRule type="expression" dxfId="1" priority="3">
      <x:formula>N7="Đang thực hiện"</x:formula>
    </x:cfRule>
    <x:cfRule type="expression" dxfId="2" priority="4">
      <x:formula>N7="Bị chặn"</x:formula>
    </x:cfRule>
    <x:cfRule type="expression" dxfId="3" priority="5">
      <x:formula>N7="Chưa bắt đầu"</x:formula>
    </x:cfRule>
  </x:conditionalFormatting>
  <x:conditionalFormatting sqref="A7:Q30">
    <x:cfRule type="expression" dxfId="4" priority="6">
      <x:formula>AND($N7&lt;&gt;"Hoàn thành",$L7&lt;TODAY())</x:formula>
    </x:cfRule>
  </x:conditionalFormatting>
  <x:dataValidations count="3">
    <x:dataValidation type="list" allowBlank="0" showDropDown="0" showInputMessage="0" showErrorMessage="0" sqref="N7:N30">
      <x:formula1>"Chưa bắt đầu,Đang thực hiện,Bị chặn,Hoàn thành"</x:formula1>
    </x:dataValidation>
    <x:dataValidation type="list" allowBlank="0" showDropDown="0" showInputMessage="0" showErrorMessage="0" sqref="J7:J30">
      <x:formula1>"Cao,Trung bình,Thấp"</x:formula1>
    </x:dataValidation>
    <x:dataValidation type="whole" operator="between" allowBlank="0" showDropDown="0" showInputMessage="0" showErrorMessage="0" sqref="M7:M30">
      <x:formula1>0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e14bed0bc6404ad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  <x:col min="3" max="3" width="24" customWidth="1"/>
    <x:col min="4" max="4" width="38" customWidth="1"/>
    <x:col min="5" max="5" width="22" customWidth="1"/>
    <x:col min="6" max="6" width="18" customWidth="1"/>
    <x:col min="7" max="7" width="18" customWidth="1"/>
    <x:col min="8" max="8" width="18" customWidth="1"/>
  </x:cols>
  <x:sheetData>
    <x:row r="1" ht="24" customHeight="1">
      <x:c r="A1" s="1" t="inlineStr">
        <x:is>
          <x:t xml:space="preserve">KPI THEO DÕI HÀNG THÁNG &amp; RỦI RO CHÍNH</x:t>
        </x:is>
      </x:c>
    </x:row>
    <x:row r="2" ht="24" customHeight="1"/>
    <x:row r="3" ht="24" customHeight="1">
      <x:c r="A3" s="21" t="inlineStr">
        <x:is>
          <x:t xml:space="preserve">MỐC KẾT QUẢ THEO THÁNG</x:t>
        </x:is>
      </x:c>
    </x:row>
    <x:row r="4" ht="24" customHeight="1">
      <x:c r="A4" s="6" t="inlineStr">
        <x:is>
          <x:t xml:space="preserve">Tháng</x:t>
        </x:is>
      </x:c>
      <x:c r="B4" s="6" t="inlineStr">
        <x:is>
          <x:t xml:space="preserve">Mục tiêu tháng</x:t>
        </x:is>
      </x:c>
      <x:c r="C4" s="6" t="inlineStr">
        <x:is>
          <x:t xml:space="preserve">Kết quả kỳ vọng</x:t>
        </x:is>
      </x:c>
      <x:c r="D4" s="6" t="inlineStr">
        <x:is>
          <x:t xml:space="preserve">KPI chính</x:t>
        </x:is>
      </x:c>
      <x:c r="E4" s="6" t="inlineStr">
        <x:is>
          <x:t xml:space="preserve">Vai trò lead</x:t>
        </x:is>
      </x:c>
    </x:row>
    <x:row r="5" ht="38" customHeight="1">
      <x:c r="A5" s="7" t="inlineStr">
        <x:is>
          <x:t xml:space="preserve">Tháng 1</x:t>
        </x:is>
      </x:c>
      <x:c r="B5" s="7" t="inlineStr">
        <x:is>
          <x:t xml:space="preserve">Khởi động + chuẩn hóa hạ tầng và dữ liệu</x:t>
        </x:is>
      </x:c>
      <x:c r="C5" s="7" t="inlineStr">
        <x:is>
          <x:t xml:space="preserve">Có nền tảng lưu trữ, quy trình dữ liệu và MVP scope rõ ràng</x:t>
        </x:is>
      </x:c>
      <x:c r="D5" s="7" t="inlineStr">
        <x:is>
          <x:t xml:space="preserve">Kho lưu trữ + metadata + CSDL tối thiểu sẵn sàng</x:t>
        </x:is>
      </x:c>
      <x:c r="E5" s="7" t="inlineStr">
        <x:is>
          <x:t xml:space="preserve">PM/BA</x:t>
        </x:is>
      </x:c>
    </x:row>
    <x:row r="6" ht="38" customHeight="1">
      <x:c r="A6" s="7" t="inlineStr">
        <x:is>
          <x:t xml:space="preserve">Tháng 2</x:t>
        </x:is>
      </x:c>
      <x:c r="B6" s="7" t="inlineStr">
        <x:is>
          <x:t xml:space="preserve">OCR + số hóa hồ sơ</x:t>
        </x:is>
      </x:c>
      <x:c r="C6" s="7" t="inlineStr">
        <x:is>
          <x:t xml:space="preserve">Scan -&gt; text -&gt; dữ liệu tra cứu được</x:t>
        </x:is>
      </x:c>
      <x:c r="D6" s="7" t="inlineStr">
        <x:is>
          <x:t xml:space="preserve">OCR pipeline vận hành và tra cứu cơ bản hoạt động</x:t>
        </x:is>
      </x:c>
      <x:c r="E6" s="7" t="inlineStr">
        <x:is>
          <x:t xml:space="preserve">Data/OCR Engineer</x:t>
        </x:is>
      </x:c>
    </x:row>
    <x:row r="7" ht="38" customHeight="1">
      <x:c r="A7" s="7" t="inlineStr">
        <x:is>
          <x:t xml:space="preserve">Tháng 3</x:t>
        </x:is>
      </x:c>
      <x:c r="B7" s="7" t="inlineStr">
        <x:is>
          <x:t xml:space="preserve">RAG pháp lý + hỏi đáp dẫn chiếu</x:t>
        </x:is>
      </x:c>
      <x:c r="C7" s="7" t="inlineStr">
        <x:is>
          <x:t xml:space="preserve">Luật sư hỏi tự nhiên, hệ thống trả lời có nguồn</x:t>
        </x:is>
      </x:c>
      <x:c r="D7" s="7" t="inlineStr">
        <x:is>
          <x:t xml:space="preserve">RAG v1 đạt chuẩn dùng thử</x:t>
        </x:is>
      </x:c>
      <x:c r="E7" s="7" t="inlineStr">
        <x:is>
          <x:t xml:space="preserve">AI Engineer</x:t>
        </x:is>
      </x:c>
    </x:row>
    <x:row r="8" ht="38" customHeight="1">
      <x:c r="A8" s="7" t="inlineStr">
        <x:is>
          <x:t xml:space="preserve">Tháng 4</x:t>
        </x:is>
      </x:c>
      <x:c r="B8" s="7" t="inlineStr">
        <x:is>
          <x:t xml:space="preserve">Quản trị vụ việc + nhắc việc</x:t>
        </x:is>
      </x:c>
      <x:c r="C8" s="7" t="inlineStr">
        <x:is>
          <x:t xml:space="preserve">Giảm thất thoát deadline và đồng bộ vận hành</x:t>
        </x:is>
      </x:c>
      <x:c r="D8" s="7" t="inlineStr">
        <x:is>
          <x:t xml:space="preserve">Nhắc việc, lịch pháp lý, dashboard hoạt động</x:t>
        </x:is>
      </x:c>
      <x:c r="E8" s="7" t="inlineStr">
        <x:is>
          <x:t xml:space="preserve">Backend/Integration Engineer</x:t>
        </x:is>
      </x:c>
    </x:row>
    <x:row r="9" ht="38" customHeight="1">
      <x:c r="A9" s="7" t="inlineStr">
        <x:is>
          <x:t xml:space="preserve">Tháng 5</x:t>
        </x:is>
      </x:c>
      <x:c r="B9" s="7" t="inlineStr">
        <x:is>
          <x:t xml:space="preserve">Ký số + thanh toán + biểu mẫu</x:t>
        </x:is>
      </x:c>
      <x:c r="C9" s="7" t="inlineStr">
        <x:is>
          <x:t xml:space="preserve">Hoàn thiện vòng đời hồ sơ gần end-to-end</x:t>
        </x:is>
      </x:c>
      <x:c r="D9" s="7" t="inlineStr">
        <x:is>
          <x:t xml:space="preserve">Ký số, mẫu tự động điền, xuất văn bản hoạt động</x:t>
        </x:is>
      </x:c>
      <x:c r="E9" s="7" t="inlineStr">
        <x:is>
          <x:t xml:space="preserve">Backend/Integration Engineer</x:t>
        </x:is>
      </x:c>
    </x:row>
    <x:row r="10" ht="38" customHeight="1">
      <x:c r="A10" s="7" t="inlineStr">
        <x:is>
          <x:t xml:space="preserve">Tháng 6</x:t>
        </x:is>
      </x:c>
      <x:c r="B10" s="7" t="inlineStr">
        <x:is>
          <x:t xml:space="preserve">UAT + đào tạo + go-live</x:t>
        </x:is>
      </x:c>
      <x:c r="C10" s="7" t="inlineStr">
        <x:is>
          <x:t xml:space="preserve">Vận hành chính thức và có SLA hỗ trợ</x:t>
        </x:is>
      </x:c>
      <x:c r="D10" s="7" t="inlineStr">
        <x:is>
          <x:t xml:space="preserve">Release candidate, SOP, nghiệm thu phase 1</x:t>
        </x:is>
      </x:c>
      <x:c r="E10" s="7" t="inlineStr">
        <x:is>
          <x:t xml:space="preserve">PM/BA</x:t>
        </x:is>
      </x:c>
    </x:row>
    <x:row r="11" ht="24" customHeight="1"/>
    <x:row r="12" ht="24" customHeight="1"/>
    <x:row r="13" ht="24" customHeight="1">
      <x:c r="A13" s="21" t="inlineStr">
        <x:is>
          <x:t xml:space="preserve">BỘ KPI GỢI Ý</x:t>
        </x:is>
      </x:c>
    </x:row>
    <x:row r="14" ht="24" customHeight="1">
      <x:c r="A14" s="6" t="inlineStr">
        <x:is>
          <x:t xml:space="preserve">KPI</x:t>
        </x:is>
      </x:c>
      <x:c r="B14" s="6" t="inlineStr">
        <x:is>
          <x:t xml:space="preserve">Đơn vị đo</x:t>
        </x:is>
      </x:c>
      <x:c r="C14" s="6" t="inlineStr">
        <x:is>
          <x:t xml:space="preserve">Tần suất</x:t>
        </x:is>
      </x:c>
      <x:c r="D14" s="6" t="inlineStr">
        <x:is>
          <x:t xml:space="preserve">Mục tiêu</x:t>
        </x:is>
      </x:c>
      <x:c r="E14" s="6" t="inlineStr">
        <x:is>
          <x:t xml:space="preserve">Cách đo</x:t>
        </x:is>
      </x:c>
      <x:c r="F14" s="6" t="inlineStr">
        <x:is>
          <x:t xml:space="preserve">Owner</x:t>
        </x:is>
      </x:c>
    </x:row>
    <x:row r="15" ht="38" customHeight="1">
      <x:c r="A15" s="7" t="inlineStr">
        <x:is>
          <x:t xml:space="preserve">OCR accuracy trên bộ hồ sơ chuẩn</x:t>
        </x:is>
      </x:c>
      <x:c r="B15" s="7" t="inlineStr">
        <x:is>
          <x:t xml:space="preserve">%</x:t>
        </x:is>
      </x:c>
      <x:c r="C15" s="7" t="inlineStr">
        <x:is>
          <x:t xml:space="preserve">Hàng tháng</x:t>
        </x:is>
      </x:c>
      <x:c r="D15" s="7" t="inlineStr">
        <x:is>
          <x:t xml:space="preserve">Tăng dần đến mức vận hành ổn định</x:t>
        </x:is>
      </x:c>
      <x:c r="E15" s="7" t="inlineStr">
        <x:is>
          <x:t xml:space="preserve">Chấm trên bộ benchmark chuẩn</x:t>
        </x:is>
      </x:c>
      <x:c r="F15" s="7" t="inlineStr">
        <x:is>
          <x:t xml:space="preserve">Data/OCR Engineer</x:t>
        </x:is>
      </x:c>
    </x:row>
    <x:row r="16" ht="38" customHeight="1">
      <x:c r="A16" s="7" t="inlineStr">
        <x:is>
          <x:t xml:space="preserve">Tỷ lệ trả lời có dẫn chiếu hợp lệ trong RAG</x:t>
        </x:is>
      </x:c>
      <x:c r="B16" s="7" t="inlineStr">
        <x:is>
          <x:t xml:space="preserve">%</x:t>
        </x:is>
      </x:c>
      <x:c r="C16" s="7" t="inlineStr">
        <x:is>
          <x:t xml:space="preserve">Hàng tháng</x:t>
        </x:is>
      </x:c>
      <x:c r="D16" s="7" t="inlineStr">
        <x:is>
          <x:t xml:space="preserve">Ưu tiên cao</x:t>
        </x:is>
      </x:c>
      <x:c r="E16" s="7" t="inlineStr">
        <x:is>
          <x:t xml:space="preserve">Review câu trả lời mẫu và đối chiếu nguồn</x:t>
        </x:is>
      </x:c>
      <x:c r="F16" s="7" t="inlineStr">
        <x:is>
          <x:t xml:space="preserve">AI Engineer</x:t>
        </x:is>
      </x:c>
    </x:row>
    <x:row r="17" ht="38" customHeight="1">
      <x:c r="A17" s="7" t="inlineStr">
        <x:is>
          <x:t xml:space="preserve">Thời gian xử lý 1 hồ sơ từ nhập -&gt; xuất biểu mẫu</x:t>
        </x:is>
      </x:c>
      <x:c r="B17" s="7" t="inlineStr">
        <x:is>
          <x:t xml:space="preserve">Phút / hồ sơ</x:t>
        </x:is>
      </x:c>
      <x:c r="C17" s="7" t="inlineStr">
        <x:is>
          <x:t xml:space="preserve">Hàng tháng</x:t>
        </x:is>
      </x:c>
      <x:c r="D17" s="7" t="inlineStr">
        <x:is>
          <x:t xml:space="preserve">Giảm dần</x:t>
        </x:is>
      </x:c>
      <x:c r="E17" s="7" t="inlineStr">
        <x:is>
          <x:t xml:space="preserve">Đo thực nghiệm trên quy trình mẫu</x:t>
        </x:is>
      </x:c>
      <x:c r="F17" s="7" t="inlineStr">
        <x:is>
          <x:t xml:space="preserve">PM/BA</x:t>
        </x:is>
      </x:c>
    </x:row>
    <x:row r="18" ht="38" customHeight="1">
      <x:c r="A18" s="7" t="inlineStr">
        <x:is>
          <x:t xml:space="preserve">Tỷ lệ việc trễ hạn trước/sau khi có hệ thống</x:t>
        </x:is>
      </x:c>
      <x:c r="B18" s="7" t="inlineStr">
        <x:is>
          <x:t xml:space="preserve">%</x:t>
        </x:is>
      </x:c>
      <x:c r="C18" s="7" t="inlineStr">
        <x:is>
          <x:t xml:space="preserve">Hàng tháng</x:t>
        </x:is>
      </x:c>
      <x:c r="D18" s="7" t="inlineStr">
        <x:is>
          <x:t xml:space="preserve">Giảm rõ rệt</x:t>
        </x:is>
      </x:c>
      <x:c r="E18" s="7" t="inlineStr">
        <x:is>
          <x:t xml:space="preserve">Đối chiếu thống kê deadline</x:t>
        </x:is>
      </x:c>
      <x:c r="F18" s="7" t="inlineStr">
        <x:is>
          <x:t xml:space="preserve">PM/BA</x:t>
        </x:is>
      </x:c>
    </x:row>
    <x:row r="19" ht="38" customHeight="1">
      <x:c r="A19" s="7" t="inlineStr">
        <x:is>
          <x:t xml:space="preserve">Mức độ chấp nhận người dùng</x:t>
        </x:is>
      </x:c>
      <x:c r="B19" s="7" t="inlineStr">
        <x:is>
          <x:t xml:space="preserve">% người dùng hoạt động</x:t>
        </x:is>
      </x:c>
      <x:c r="C19" s="7" t="inlineStr">
        <x:is>
          <x:t xml:space="preserve">Hàng tháng</x:t>
        </x:is>
      </x:c>
      <x:c r="D19" s="7" t="inlineStr">
        <x:is>
          <x:t xml:space="preserve">Tăng dần</x:t>
        </x:is>
      </x:c>
      <x:c r="E19" s="7" t="inlineStr">
        <x:is>
          <x:t xml:space="preserve">Theo dõi đăng nhập / sử dụng thực tế</x:t>
        </x:is>
      </x:c>
      <x:c r="F19" s="7" t="inlineStr">
        <x:is>
          <x:t xml:space="preserve">QA/UAT Coordinator</x:t>
        </x:is>
      </x:c>
    </x:row>
    <x:row r="20" ht="24" customHeight="1"/>
    <x:row r="21" ht="24" customHeight="1"/>
    <x:row r="22" ht="24" customHeight="1">
      <x:c r="A22" s="21" t="inlineStr">
        <x:is>
          <x:t xml:space="preserve">RỦI RO CHÍNH &amp; CÁCH CHẶN SỚM</x:t>
        </x:is>
      </x:c>
    </x:row>
    <x:row r="23" ht="24" customHeight="1">
      <x:c r="A23" s="6" t="inlineStr">
        <x:is>
          <x:t xml:space="preserve">Rủi ro</x:t>
        </x:is>
      </x:c>
      <x:c r="B23" s="6" t="inlineStr">
        <x:is>
          <x:t xml:space="preserve">Tác động</x:t>
        </x:is>
      </x:c>
      <x:c r="C23" s="6" t="inlineStr">
        <x:is>
          <x:t xml:space="preserve">Dấu hiệu sớm</x:t>
        </x:is>
      </x:c>
      <x:c r="D23" s="6" t="inlineStr">
        <x:is>
          <x:t xml:space="preserve">Biện pháp chặn</x:t>
        </x:is>
      </x:c>
      <x:c r="E23" s="6" t="inlineStr">
        <x:is>
          <x:t xml:space="preserve">Owner</x:t>
        </x:is>
      </x:c>
    </x:row>
    <x:row r="24" ht="38" customHeight="1">
      <x:c r="A24" s="7" t="inlineStr">
        <x:is>
          <x:t xml:space="preserve">Dữ liệu scan chất lượng thấp</x:t>
        </x:is>
      </x:c>
      <x:c r="B24" s="7" t="inlineStr">
        <x:is>
          <x:t xml:space="preserve">OCR sai, tra cứu kém</x:t>
        </x:is>
      </x:c>
      <x:c r="C24" s="7" t="inlineStr">
        <x:is>
          <x:t xml:space="preserve">Tỷ lệ lỗi OCR cao trên bản scan mờ</x:t>
        </x:is>
      </x:c>
      <x:c r="D24" s="7" t="inlineStr">
        <x:is>
          <x:t xml:space="preserve">Thêm tiền xử lý ảnh + QA mẫu bắt buộc</x:t>
        </x:is>
      </x:c>
      <x:c r="E24" s="7" t="inlineStr">
        <x:is>
          <x:t xml:space="preserve">Data/OCR Engineer</x:t>
        </x:is>
      </x:c>
    </x:row>
    <x:row r="25" ht="38" customHeight="1">
      <x:c r="A25" s="7" t="inlineStr">
        <x:is>
          <x:t xml:space="preserve">AI trả lời sai ngữ cảnh pháp lý</x:t>
        </x:is>
      </x:c>
      <x:c r="B25" s="7" t="inlineStr">
        <x:is>
          <x:t xml:space="preserve">Rủi ro nghiệp vụ cao</x:t>
        </x:is>
      </x:c>
      <x:c r="C25" s="7" t="inlineStr">
        <x:is>
          <x:t xml:space="preserve">Trả lời không có nguồn hoặc nguồn yếu</x:t>
        </x:is>
      </x:c>
      <x:c r="D25" s="7" t="inlineStr">
        <x:is>
          <x:t xml:space="preserve">Bắt buộc dẫn nguồn + human-in-the-loop</x:t>
        </x:is>
      </x:c>
      <x:c r="E25" s="7" t="inlineStr">
        <x:is>
          <x:t xml:space="preserve">AI Engineer</x:t>
        </x:is>
      </x:c>
    </x:row>
    <x:row r="26" ht="38" customHeight="1">
      <x:c r="A26" s="7" t="inlineStr">
        <x:is>
          <x:t xml:space="preserve">Kháng cự thay đổi quy trình</x:t>
        </x:is>
      </x:c>
      <x:c r="B26" s="7" t="inlineStr">
        <x:is>
          <x:t xml:space="preserve">Tỷ lệ dùng thấp</x:t>
        </x:is>
      </x:c>
      <x:c r="C26" s="7" t="inlineStr">
        <x:is>
          <x:t xml:space="preserve">Người dùng bỏ qua hệ thống / nhập thiếu</x:t>
        </x:is>
      </x:c>
      <x:c r="D26" s="7" t="inlineStr">
        <x:is>
          <x:t xml:space="preserve">Đào tạo theo vai trò + pilot nhỏ trước mở rộng</x:t>
        </x:is>
      </x:c>
      <x:c r="E26" s="7" t="inlineStr">
        <x:is>
          <x:t xml:space="preserve">PM/BA</x:t>
        </x:is>
      </x:c>
    </x:row>
    <x:row r="27" ht="38" customHeight="1">
      <x:c r="A27" s="7" t="inlineStr">
        <x:is>
          <x:t xml:space="preserve">Thiếu kỷ luật nhập liệu</x:t>
        </x:is>
      </x:c>
      <x:c r="B27" s="7" t="inlineStr">
        <x:is>
          <x:t xml:space="preserve">Dashboard và deadline sai</x:t>
        </x:is>
      </x:c>
      <x:c r="C27" s="7" t="inlineStr">
        <x:is>
          <x:t xml:space="preserve">Metadata bỏ trống / trạng thái không cập nhật</x:t>
        </x:is>
      </x:c>
      <x:c r="D27" s="7" t="inlineStr">
        <x:is>
          <x:t xml:space="preserve">Bắt buộc metadata + kiểm tra đầu vào tự động</x:t>
        </x:is>
      </x:c>
      <x:c r="E27" s="7" t="inlineStr">
        <x:is>
          <x:t xml:space="preserve">PM/BA</x:t>
        </x:is>
      </x:c>
    </x:row>
    <x:row r="28" ht="24" customHeight="1"/>
    <x:row r="29" ht="24" customHeight="1"/>
  </x:sheetData>
  <x:mergeCells>
    <x:mergeCell ref="A3:H3"/>
    <x:mergeCell ref="A13:H13"/>
    <x:mergeCell ref="A22:H2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2" customWidth="1"/>
    <x:col min="3" max="3" width="3" customWidth="1"/>
    <x:col min="4" max="4" width="18" customWidth="1"/>
    <x:col min="5" max="5" width="12" customWidth="1"/>
    <x:col min="6" max="6" width="3" customWidth="1"/>
    <x:col min="7" max="7" width="30" customWidth="1"/>
    <x:col min="8" max="8" width="12" customWidth="1"/>
    <x:col min="9" max="9" width="2" customWidth="1"/>
    <x:col min="10" max="10" width="2" customWidth="1"/>
  </x:cols>
  <x:sheetData>
    <x:row r="1" ht="24" customHeight="1">
      <x:c r="A1" s="1" t="inlineStr">
        <x:is>
          <x:t xml:space="preserve">DASHBOARD THEO DÕI DỰ ÁN</x:t>
        </x:is>
      </x:c>
    </x:row>
    <x:row r="2" ht="24" customHeight="1"/>
    <x:row r="3" ht="24" customHeight="1">
      <x:c r="A3" s="6" t="inlineStr">
        <x:is>
          <x:t xml:space="preserve">Chỉ số</x:t>
        </x:is>
      </x:c>
      <x:c r="B3" s="6" t="inlineStr">
        <x:is>
          <x:t xml:space="preserve">Giá trị</x:t>
        </x:is>
      </x:c>
      <x:c r="D3" s="22" t="inlineStr">
        <x:is>
          <x:t xml:space="preserve">Trạng thái</x:t>
        </x:is>
      </x:c>
      <x:c r="E3" s="22" t="inlineStr">
        <x:is>
          <x:t xml:space="preserve">Số lượng</x:t>
        </x:is>
      </x:c>
      <x:c r="G3" s="22" t="inlineStr">
        <x:is>
          <x:t xml:space="preserve">Phụ trách chính</x:t>
        </x:is>
      </x:c>
      <x:c r="H3" s="22" t="inlineStr">
        <x:is>
          <x:t xml:space="preserve">Số đầu việc</x:t>
        </x:is>
      </x:c>
    </x:row>
    <x:row r="4" ht="24" customHeight="1">
      <x:c r="A4" s="7" t="inlineStr">
        <x:is>
          <x:t xml:space="preserve">Tổng đầu việc</x:t>
        </x:is>
      </x:c>
      <x:c r="B4" s="12">
        <x:f>COUNTA(Ke_hoach_chi_tiet!B7:B30)</x:f>
        <x:v>24</x:v>
      </x:c>
      <x:c r="D4" s="7" t="inlineStr">
        <x:is>
          <x:t xml:space="preserve">Hoàn thành</x:t>
        </x:is>
      </x:c>
      <x:c r="E4" s="12">
        <x:f>COUNTIF(Ke_hoach_chi_tiet!N7:N30,D4)</x:f>
        <x:v>0</x:v>
      </x:c>
      <x:c r="G4" s="7" t="inlineStr">
        <x:is>
          <x:t xml:space="preserve">PM/BA</x:t>
        </x:is>
      </x:c>
      <x:c r="H4" s="12">
        <x:f>COUNTIF(Ke_hoach_chi_tiet!F7:F30,G4)</x:f>
        <x:v>5</x:v>
      </x:c>
    </x:row>
    <x:row r="5" ht="24" customHeight="1">
      <x:c r="A5" s="7" t="inlineStr">
        <x:is>
          <x:t xml:space="preserve">Đã hoàn thành</x:t>
        </x:is>
      </x:c>
      <x:c r="B5" s="12">
        <x:f>COUNTIF(Ke_hoach_chi_tiet!N7:N30,"Hoàn thành")</x:f>
        <x:v>0</x:v>
      </x:c>
      <x:c r="D5" s="7" t="inlineStr">
        <x:is>
          <x:t xml:space="preserve">Đang thực hiện</x:t>
        </x:is>
      </x:c>
      <x:c r="E5" s="12">
        <x:f>COUNTIF(Ke_hoach_chi_tiet!N7:N30,D5)</x:f>
        <x:v>0</x:v>
      </x:c>
      <x:c r="G5" s="7" t="inlineStr">
        <x:is>
          <x:t xml:space="preserve">Data/OCR Engineer</x:t>
        </x:is>
      </x:c>
      <x:c r="H5" s="12">
        <x:f>COUNTIF(Ke_hoach_chi_tiet!F7:F30,G5)</x:f>
        <x:v>3</x:v>
      </x:c>
    </x:row>
    <x:row r="6" ht="24" customHeight="1">
      <x:c r="A6" s="7" t="inlineStr">
        <x:is>
          <x:t xml:space="preserve">Đang thực hiện</x:t>
        </x:is>
      </x:c>
      <x:c r="B6" s="12">
        <x:f>COUNTIF(Ke_hoach_chi_tiet!N7:N30,"Đang thực hiện")</x:f>
        <x:v>0</x:v>
      </x:c>
      <x:c r="D6" s="7" t="inlineStr">
        <x:is>
          <x:t xml:space="preserve">Bị chặn</x:t>
        </x:is>
      </x:c>
      <x:c r="E6" s="12">
        <x:f>COUNTIF(Ke_hoach_chi_tiet!N7:N30,D6)</x:f>
        <x:v>0</x:v>
      </x:c>
      <x:c r="G6" s="7" t="inlineStr">
        <x:is>
          <x:t xml:space="preserve">AI Engineer</x:t>
        </x:is>
      </x:c>
      <x:c r="H6" s="12">
        <x:f>COUNTIF(Ke_hoach_chi_tiet!F7:F30,G6)</x:f>
        <x:v>4</x:v>
      </x:c>
    </x:row>
    <x:row r="7" ht="24" customHeight="1">
      <x:c r="A7" s="7" t="inlineStr">
        <x:is>
          <x:t xml:space="preserve">Bị chặn</x:t>
        </x:is>
      </x:c>
      <x:c r="B7" s="12">
        <x:f>COUNTIF(Ke_hoach_chi_tiet!N7:N30,"Bị chặn")</x:f>
        <x:v>0</x:v>
      </x:c>
      <x:c r="D7" s="7" t="inlineStr">
        <x:is>
          <x:t xml:space="preserve">Chưa bắt đầu</x:t>
        </x:is>
      </x:c>
      <x:c r="E7" s="12">
        <x:f>COUNTIF(Ke_hoach_chi_tiet!N7:N30,D7)</x:f>
        <x:v>24</x:v>
      </x:c>
      <x:c r="G7" s="7" t="inlineStr">
        <x:is>
          <x:t xml:space="preserve">Backend/Integration Engineer</x:t>
        </x:is>
      </x:c>
      <x:c r="H7" s="12">
        <x:f>COUNTIF(Ke_hoach_chi_tiet!F7:F30,G7)</x:f>
        <x:v>10</x:v>
      </x:c>
    </x:row>
    <x:row r="8" ht="24" customHeight="1">
      <x:c r="A8" s="7" t="inlineStr">
        <x:is>
          <x:t xml:space="preserve">Chưa bắt đầu</x:t>
        </x:is>
      </x:c>
      <x:c r="B8" s="12">
        <x:f>COUNTIF(Ke_hoach_chi_tiet!N7:N30,"Chưa bắt đầu")</x:f>
        <x:v>24</x:v>
      </x:c>
      <x:c r="G8" s="7" t="inlineStr">
        <x:is>
          <x:t xml:space="preserve">QA/UAT Coordinator</x:t>
        </x:is>
      </x:c>
      <x:c r="H8" s="12">
        <x:f>COUNTIF(Ke_hoach_chi_tiet!F7:F30,G8)</x:f>
        <x:v>1</x:v>
      </x:c>
    </x:row>
    <x:row r="9" ht="24" customHeight="1">
      <x:c r="A9" s="7" t="inlineStr">
        <x:is>
          <x:t xml:space="preserve">Tiến độ trung bình</x:t>
        </x:is>
      </x:c>
      <x:c r="B9" s="23">
        <x:f>IFERROR(AVERAGE(Ke_hoach_chi_tiet!M7:M30),0)</x:f>
        <x:v>0</x:v>
      </x:c>
      <x:c r="G9" s="7" t="inlineStr">
        <x:is>
          <x:t xml:space="preserve">IT Admin</x:t>
        </x:is>
      </x:c>
      <x:c r="H9" s="12">
        <x:f>COUNTIF(Ke_hoach_chi_tiet!F7:F30,G9)</x:f>
        <x:v>1</x:v>
      </x:c>
    </x:row>
    <x:row r="10" ht="24" customHeight="1">
      <x:c r="A10" s="7" t="inlineStr">
        <x:is>
          <x:t xml:space="preserve">Việc quá hạn</x:t>
        </x:is>
      </x:c>
      <x:c r="B10" s="12">
        <x:f>COUNTIFS(Ke_hoach_chi_tiet!N7:N30,"&lt;&gt;Hoàn thành",Ke_hoach_chi_tiet!L7:L30,"&lt;"&amp;TODAY())</x:f>
        <x:v>0</x:v>
      </x:c>
    </x:row>
    <x:row r="11" ht="24" customHeight="1"/>
    <x:row r="12" ht="24" customHeight="1"/>
    <x:row r="13" ht="24" customHeight="1">
      <x:c r="A13" s="22" t="inlineStr">
        <x:is>
          <x:t xml:space="preserve">Tháng</x:t>
        </x:is>
      </x:c>
      <x:c r="B13" s="22" t="inlineStr">
        <x:is>
          <x:t xml:space="preserve">Tiến độ TB</x:t>
        </x:is>
      </x:c>
    </x:row>
    <x:row r="14" ht="24" customHeight="1">
      <x:c r="A14" s="7" t="inlineStr">
        <x:is>
          <x:t xml:space="preserve">Tháng 1</x:t>
        </x:is>
      </x:c>
      <x:c r="B14" s="23">
        <x:f>IFERROR(AVERAGEIF(Ke_hoach_chi_tiet!A7:A30,A14,Ke_hoach_chi_tiet!M7:M30),0)</x:f>
        <x:v>0</x:v>
      </x:c>
    </x:row>
    <x:row r="15" ht="24" customHeight="1">
      <x:c r="A15" s="7" t="inlineStr">
        <x:is>
          <x:t xml:space="preserve">Tháng 2</x:t>
        </x:is>
      </x:c>
      <x:c r="B15" s="23">
        <x:f>IFERROR(AVERAGEIF(Ke_hoach_chi_tiet!A7:A30,A15,Ke_hoach_chi_tiet!M7:M30),0)</x:f>
        <x:v>0</x:v>
      </x:c>
    </x:row>
    <x:row r="16" ht="24" customHeight="1">
      <x:c r="A16" s="7" t="inlineStr">
        <x:is>
          <x:t xml:space="preserve">Tháng 3</x:t>
        </x:is>
      </x:c>
      <x:c r="B16" s="23">
        <x:f>IFERROR(AVERAGEIF(Ke_hoach_chi_tiet!A7:A30,A16,Ke_hoach_chi_tiet!M7:M30),0)</x:f>
        <x:v>0</x:v>
      </x:c>
    </x:row>
    <x:row r="17" ht="24" customHeight="1">
      <x:c r="A17" s="7" t="inlineStr">
        <x:is>
          <x:t xml:space="preserve">Tháng 4</x:t>
        </x:is>
      </x:c>
      <x:c r="B17" s="23">
        <x:f>IFERROR(AVERAGEIF(Ke_hoach_chi_tiet!A7:A30,A17,Ke_hoach_chi_tiet!M7:M30),0)</x:f>
        <x:v>0</x:v>
      </x:c>
    </x:row>
    <x:row r="18" ht="24" customHeight="1">
      <x:c r="A18" s="7" t="inlineStr">
        <x:is>
          <x:t xml:space="preserve">Tháng 5</x:t>
        </x:is>
      </x:c>
      <x:c r="B18" s="23">
        <x:f>IFERROR(AVERAGEIF(Ke_hoach_chi_tiet!A7:A30,A18,Ke_hoach_chi_tiet!M7:M30),0)</x:f>
        <x:v>0</x:v>
      </x:c>
    </x:row>
    <x:row r="19" ht="24" customHeight="1">
      <x:c r="A19" s="7" t="inlineStr">
        <x:is>
          <x:t xml:space="preserve">Tháng 6</x:t>
        </x:is>
      </x:c>
      <x:c r="B19" s="23">
        <x:f>IFERROR(AVERAGEIF(Ke_hoach_chi_tiet!A7:A30,A19,Ke_hoach_chi_tiet!M7:M30),0)</x:f>
        <x:v>0</x:v>
      </x:c>
    </x:row>
    <x:row r="20" ht="24" customHeight="1"/>
    <x:row r="21" ht="24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1ac59f2d051c4550"/>
</x:worksheet>
</file>